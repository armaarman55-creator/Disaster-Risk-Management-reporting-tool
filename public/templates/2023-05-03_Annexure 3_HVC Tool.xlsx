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31"/>
  <workbookPr codeName="ThisWorkbook" defaultThemeVersion="166925"/>
  <mc:AlternateContent xmlns:mc="http://schemas.openxmlformats.org/markup-compatibility/2006">
    <mc:Choice Requires="x15">
      <x15ac:absPath xmlns:x15ac="http://schemas.microsoft.com/office/spreadsheetml/2010/11/ac" url="https://drmnpc.sharepoint.com/sites/Operations/Shared Documents/WC SRAM Review/Deliverables/2023-04-26_WC SRAM FINAL SUBMISSION/"/>
    </mc:Choice>
  </mc:AlternateContent>
  <xr:revisionPtr revIDLastSave="0" documentId="8_{1AC879CC-2E62-4D25-BA29-F9A8AAEBCBDA}" xr6:coauthVersionLast="47" xr6:coauthVersionMax="47" xr10:uidLastSave="{00000000-0000-0000-0000-000000000000}"/>
  <bookViews>
    <workbookView xWindow="-120" yWindow="-120" windowWidth="20730" windowHeight="11160" firstSheet="1" activeTab="1" xr2:uid="{2FBA75B6-82D6-084F-A7B2-9450905E0DF5}"/>
  </bookViews>
  <sheets>
    <sheet name="Assessment Details" sheetId="5" r:id="rId1"/>
    <sheet name="HVC Tool" sheetId="1" r:id="rId2"/>
    <sheet name="Risk Rating Indicators" sheetId="3" r:id="rId3"/>
    <sheet name="Risk Quartile Matrix" sheetId="4" r:id="rId4"/>
    <sheet name="Input tables" sheetId="6" r:id="rId5"/>
  </sheets>
  <externalReferences>
    <externalReference r:id="rId6"/>
  </externalReferences>
  <definedNames>
    <definedName name="dd_affected">'[1]Hazard Criteria (Protected)'!$R$17:$R$21</definedName>
    <definedName name="dd_frequency">'[1]Hazard Criteria (Protected)'!$F$17:$F$21</definedName>
    <definedName name="dd_predictability">'[1]Hazard Criteria (Protected)'!$L$17:$L$21</definedName>
    <definedName name="dd_probability">'[1]Hazard Criteria (Protected)'!$C$17:$C$21</definedName>
    <definedName name="dd_severity">'[1]Hazard Criteria (Protected)'!$O$17:$O$21</definedName>
    <definedName name="_xlnm.Print_Area" localSheetId="2">'Risk Rating Indicators'!$A$1:$F$39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I12" i="1"/>
  <c r="K12" i="1"/>
  <c r="M12" i="1"/>
  <c r="N12" i="1" s="1"/>
  <c r="G13" i="1"/>
  <c r="I13" i="1"/>
  <c r="K13" i="1"/>
  <c r="M13" i="1"/>
  <c r="G14" i="1"/>
  <c r="I14" i="1"/>
  <c r="K14" i="1"/>
  <c r="M14" i="1"/>
  <c r="G15" i="1"/>
  <c r="I15" i="1"/>
  <c r="K15" i="1"/>
  <c r="M15" i="1"/>
  <c r="N15" i="1" s="1"/>
  <c r="G16" i="1"/>
  <c r="I16" i="1"/>
  <c r="K16" i="1"/>
  <c r="N16" i="1" s="1"/>
  <c r="M16" i="1"/>
  <c r="G17" i="1"/>
  <c r="I17" i="1"/>
  <c r="K17" i="1"/>
  <c r="M17" i="1"/>
  <c r="G18" i="1"/>
  <c r="I18" i="1"/>
  <c r="K18" i="1"/>
  <c r="M18" i="1"/>
  <c r="G19" i="1"/>
  <c r="I19" i="1"/>
  <c r="K19" i="1"/>
  <c r="M19" i="1"/>
  <c r="N19" i="1" s="1"/>
  <c r="G20" i="1"/>
  <c r="I20" i="1"/>
  <c r="K20" i="1"/>
  <c r="N20" i="1" s="1"/>
  <c r="M20" i="1"/>
  <c r="G21" i="1"/>
  <c r="I21" i="1"/>
  <c r="N21" i="1" s="1"/>
  <c r="K21" i="1"/>
  <c r="M21" i="1"/>
  <c r="G22" i="1"/>
  <c r="I22" i="1"/>
  <c r="N22" i="1" s="1"/>
  <c r="K22" i="1"/>
  <c r="M22" i="1"/>
  <c r="G23" i="1"/>
  <c r="I23" i="1"/>
  <c r="K23" i="1"/>
  <c r="M23" i="1"/>
  <c r="G24" i="1"/>
  <c r="I24" i="1"/>
  <c r="K24" i="1"/>
  <c r="N24" i="1" s="1"/>
  <c r="M24" i="1"/>
  <c r="G25" i="1"/>
  <c r="I25" i="1"/>
  <c r="N25" i="1" s="1"/>
  <c r="K25" i="1"/>
  <c r="M25" i="1"/>
  <c r="G26" i="1"/>
  <c r="I26" i="1"/>
  <c r="N26" i="1" s="1"/>
  <c r="K26" i="1"/>
  <c r="M26" i="1"/>
  <c r="AQ20" i="1"/>
  <c r="AS20" i="1"/>
  <c r="AU20" i="1"/>
  <c r="AQ21" i="1"/>
  <c r="AS21" i="1"/>
  <c r="AU21" i="1"/>
  <c r="AQ22" i="1"/>
  <c r="AS22" i="1"/>
  <c r="AU22" i="1"/>
  <c r="AQ23" i="1"/>
  <c r="AS23" i="1"/>
  <c r="AU23" i="1"/>
  <c r="AQ24" i="1"/>
  <c r="AS24" i="1"/>
  <c r="AU24" i="1"/>
  <c r="AQ25" i="1"/>
  <c r="AS25" i="1"/>
  <c r="AU25" i="1"/>
  <c r="AQ26" i="1"/>
  <c r="AS26" i="1"/>
  <c r="AU26" i="1"/>
  <c r="AQ13" i="1"/>
  <c r="AS13" i="1"/>
  <c r="AU13" i="1"/>
  <c r="AQ14" i="1"/>
  <c r="AS14" i="1"/>
  <c r="AU14" i="1"/>
  <c r="AQ15" i="1"/>
  <c r="AS15" i="1"/>
  <c r="AU15" i="1"/>
  <c r="AQ16" i="1"/>
  <c r="AS16" i="1"/>
  <c r="AU16" i="1"/>
  <c r="AQ17" i="1"/>
  <c r="AS17" i="1"/>
  <c r="AU17" i="1"/>
  <c r="AQ18" i="1"/>
  <c r="AS18" i="1"/>
  <c r="AU18" i="1"/>
  <c r="AQ19" i="1"/>
  <c r="AS19" i="1"/>
  <c r="AU19" i="1"/>
  <c r="AU12" i="1"/>
  <c r="AS12" i="1"/>
  <c r="AQ12" i="1"/>
  <c r="AV12" i="1" l="1"/>
  <c r="AW12" i="1" s="1"/>
  <c r="N23" i="1"/>
  <c r="N18" i="1"/>
  <c r="N17" i="1"/>
  <c r="N13" i="1"/>
  <c r="N14" i="1"/>
  <c r="AV14" i="1"/>
  <c r="AW14" i="1" s="1"/>
  <c r="AV15" i="1"/>
  <c r="AW15" i="1" s="1"/>
  <c r="AV19" i="1"/>
  <c r="AW19" i="1" s="1"/>
  <c r="AV23" i="1"/>
  <c r="AW23" i="1" s="1"/>
  <c r="AV22" i="1"/>
  <c r="AW22" i="1" s="1"/>
  <c r="AV26" i="1"/>
  <c r="AW26" i="1" s="1"/>
  <c r="AV18" i="1"/>
  <c r="AW18" i="1" s="1"/>
  <c r="AV13" i="1"/>
  <c r="AW13" i="1" s="1"/>
  <c r="AV17" i="1"/>
  <c r="AW17" i="1" s="1"/>
  <c r="AV21" i="1"/>
  <c r="AW21" i="1" s="1"/>
  <c r="AV25" i="1"/>
  <c r="AW25" i="1" s="1"/>
  <c r="AV16" i="1"/>
  <c r="AW16" i="1" s="1"/>
  <c r="AV20" i="1"/>
  <c r="AW20" i="1" s="1"/>
  <c r="AV24" i="1"/>
  <c r="AW24" i="1" s="1"/>
  <c r="AE15" i="1"/>
  <c r="AC12" i="1"/>
  <c r="AC13" i="1"/>
  <c r="AC14" i="1"/>
  <c r="AC15" i="1"/>
  <c r="AC16" i="1"/>
  <c r="AC17" i="1"/>
  <c r="AC18" i="1"/>
  <c r="AC19" i="1"/>
  <c r="AC20" i="1"/>
  <c r="AC21" i="1"/>
  <c r="AC22" i="1"/>
  <c r="AC23" i="1"/>
  <c r="AC24" i="1"/>
  <c r="AC25" i="1"/>
  <c r="AC26" i="1"/>
  <c r="AE13" i="1"/>
  <c r="AE14" i="1"/>
  <c r="AE16" i="1"/>
  <c r="AE17" i="1"/>
  <c r="AE18" i="1"/>
  <c r="AE19" i="1"/>
  <c r="AE20" i="1"/>
  <c r="AE21" i="1"/>
  <c r="AE22" i="1"/>
  <c r="AE23" i="1"/>
  <c r="AE24" i="1"/>
  <c r="AE25" i="1"/>
  <c r="AE26" i="1"/>
  <c r="AE12" i="1"/>
  <c r="AA12" i="1"/>
  <c r="P13" i="1" l="1"/>
  <c r="R13" i="1"/>
  <c r="T13" i="1"/>
  <c r="V13" i="1"/>
  <c r="X13" i="1"/>
  <c r="AA13" i="1"/>
  <c r="AG13" i="1"/>
  <c r="AI13" i="1"/>
  <c r="AK13" i="1"/>
  <c r="P14" i="1"/>
  <c r="R14" i="1"/>
  <c r="T14" i="1"/>
  <c r="V14" i="1"/>
  <c r="X14" i="1"/>
  <c r="AA14" i="1"/>
  <c r="AG14" i="1"/>
  <c r="AI14" i="1"/>
  <c r="AK14" i="1"/>
  <c r="P15" i="1"/>
  <c r="R15" i="1"/>
  <c r="T15" i="1"/>
  <c r="V15" i="1"/>
  <c r="X15" i="1"/>
  <c r="AA15" i="1"/>
  <c r="AG15" i="1"/>
  <c r="AI15" i="1"/>
  <c r="AK15" i="1"/>
  <c r="P16" i="1"/>
  <c r="R16" i="1"/>
  <c r="T16" i="1"/>
  <c r="V16" i="1"/>
  <c r="X16" i="1"/>
  <c r="AA16" i="1"/>
  <c r="AG16" i="1"/>
  <c r="AI16" i="1"/>
  <c r="AK16" i="1"/>
  <c r="P17" i="1"/>
  <c r="R17" i="1"/>
  <c r="T17" i="1"/>
  <c r="V17" i="1"/>
  <c r="X17" i="1"/>
  <c r="AA17" i="1"/>
  <c r="AG17" i="1"/>
  <c r="AI17" i="1"/>
  <c r="AK17" i="1"/>
  <c r="P18" i="1"/>
  <c r="R18" i="1"/>
  <c r="T18" i="1"/>
  <c r="V18" i="1"/>
  <c r="X18" i="1"/>
  <c r="AA18" i="1"/>
  <c r="AG18" i="1"/>
  <c r="AI18" i="1"/>
  <c r="AK18" i="1"/>
  <c r="P19" i="1"/>
  <c r="R19" i="1"/>
  <c r="T19" i="1"/>
  <c r="V19" i="1"/>
  <c r="X19" i="1"/>
  <c r="AA19" i="1"/>
  <c r="AG19" i="1"/>
  <c r="AI19" i="1"/>
  <c r="AK19" i="1"/>
  <c r="P20" i="1"/>
  <c r="R20" i="1"/>
  <c r="T20" i="1"/>
  <c r="V20" i="1"/>
  <c r="X20" i="1"/>
  <c r="AA20" i="1"/>
  <c r="AG20" i="1"/>
  <c r="AI20" i="1"/>
  <c r="AK20" i="1"/>
  <c r="P21" i="1"/>
  <c r="R21" i="1"/>
  <c r="T21" i="1"/>
  <c r="V21" i="1"/>
  <c r="X21" i="1"/>
  <c r="AA21" i="1"/>
  <c r="AG21" i="1"/>
  <c r="AI21" i="1"/>
  <c r="AK21" i="1"/>
  <c r="P22" i="1"/>
  <c r="R22" i="1"/>
  <c r="T22" i="1"/>
  <c r="V22" i="1"/>
  <c r="X22" i="1"/>
  <c r="AA22" i="1"/>
  <c r="AG22" i="1"/>
  <c r="AI22" i="1"/>
  <c r="AK22" i="1"/>
  <c r="P23" i="1"/>
  <c r="R23" i="1"/>
  <c r="T23" i="1"/>
  <c r="V23" i="1"/>
  <c r="X23" i="1"/>
  <c r="AA23" i="1"/>
  <c r="AG23" i="1"/>
  <c r="AI23" i="1"/>
  <c r="AK23" i="1"/>
  <c r="P24" i="1"/>
  <c r="R24" i="1"/>
  <c r="T24" i="1"/>
  <c r="V24" i="1"/>
  <c r="X24" i="1"/>
  <c r="AA24" i="1"/>
  <c r="AG24" i="1"/>
  <c r="AI24" i="1"/>
  <c r="AK24" i="1"/>
  <c r="P25" i="1"/>
  <c r="R25" i="1"/>
  <c r="T25" i="1"/>
  <c r="V25" i="1"/>
  <c r="X25" i="1"/>
  <c r="AA25" i="1"/>
  <c r="AG25" i="1"/>
  <c r="AI25" i="1"/>
  <c r="AK25" i="1"/>
  <c r="P26" i="1"/>
  <c r="R26" i="1"/>
  <c r="T26" i="1"/>
  <c r="V26" i="1"/>
  <c r="X26" i="1"/>
  <c r="AA26" i="1"/>
  <c r="AG26" i="1"/>
  <c r="AI26" i="1"/>
  <c r="AK26" i="1"/>
  <c r="AK12" i="1"/>
  <c r="AI12" i="1"/>
  <c r="AG12" i="1"/>
  <c r="X12" i="1"/>
  <c r="V12" i="1"/>
  <c r="T12" i="1"/>
  <c r="R12" i="1"/>
  <c r="P12" i="1"/>
  <c r="AL12" i="1" l="1"/>
  <c r="AL13" i="1"/>
  <c r="AL14" i="1"/>
  <c r="AL24" i="1"/>
  <c r="AL20" i="1"/>
  <c r="AL17" i="1"/>
  <c r="AL25" i="1"/>
  <c r="AL21" i="1"/>
  <c r="AL26" i="1"/>
  <c r="AL22" i="1"/>
  <c r="AL18" i="1"/>
  <c r="AL15" i="1"/>
  <c r="AL23" i="1"/>
  <c r="AL19" i="1"/>
  <c r="AL16" i="1"/>
  <c r="Y24" i="1"/>
  <c r="Y20" i="1"/>
  <c r="Y16" i="1"/>
  <c r="Y23" i="1"/>
  <c r="Y19" i="1"/>
  <c r="Y15" i="1"/>
  <c r="Y13" i="1"/>
  <c r="Y26" i="1"/>
  <c r="Y22" i="1"/>
  <c r="Y18" i="1"/>
  <c r="Y14" i="1"/>
  <c r="Y25" i="1"/>
  <c r="Y21" i="1"/>
  <c r="Y17" i="1"/>
  <c r="AN16" i="1" l="1"/>
  <c r="AO16" i="1" s="1"/>
  <c r="AN13" i="1"/>
  <c r="AO13" i="1" s="1"/>
  <c r="AN14" i="1"/>
  <c r="AO14" i="1" s="1"/>
  <c r="AN15" i="1"/>
  <c r="AO15" i="1" s="1"/>
  <c r="AN18" i="1"/>
  <c r="AO18" i="1" s="1"/>
  <c r="AN17" i="1"/>
  <c r="AO17" i="1" s="1"/>
  <c r="AN24" i="1"/>
  <c r="AO24" i="1" s="1"/>
  <c r="AM26" i="1"/>
  <c r="AM22" i="1"/>
  <c r="AM19" i="1"/>
  <c r="AM16" i="1"/>
  <c r="AM17" i="1"/>
  <c r="AM13" i="1"/>
  <c r="AM20" i="1"/>
  <c r="AM25" i="1"/>
  <c r="AM14" i="1"/>
  <c r="AM18" i="1"/>
  <c r="AM15" i="1"/>
  <c r="AM24" i="1"/>
  <c r="AN21" i="1"/>
  <c r="AO21" i="1" s="1"/>
  <c r="AM21" i="1"/>
  <c r="AN20" i="1"/>
  <c r="AO20" i="1" s="1"/>
  <c r="AN19" i="1"/>
  <c r="AO19" i="1" s="1"/>
  <c r="AM23" i="1"/>
  <c r="AN25" i="1"/>
  <c r="AO25" i="1" s="1"/>
  <c r="AN22" i="1"/>
  <c r="AO22" i="1" s="1"/>
  <c r="AN26" i="1"/>
  <c r="AO26" i="1" s="1"/>
  <c r="AN23" i="1"/>
  <c r="AO23" i="1" s="1"/>
  <c r="Y12" i="1" l="1"/>
  <c r="AN12" i="1" l="1"/>
  <c r="AO12" i="1" s="1"/>
  <c r="AM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Jurgens Dyssel</author>
    <author>Francis</author>
    <author>Betsie Mocke</author>
  </authors>
  <commentList>
    <comment ref="B1" authorId="0" shapeId="0" xr:uid="{B2284525-FCC3-8540-A4F2-8E0399C6449E}">
      <text>
        <r>
          <rPr>
            <b/>
            <sz val="9"/>
            <color rgb="FF000000"/>
            <rFont val="Tahoma"/>
            <family val="2"/>
          </rPr>
          <t xml:space="preserve">Type the name of the area here
</t>
        </r>
      </text>
    </comment>
    <comment ref="AN2" authorId="1" shapeId="0" xr:uid="{D98E8543-49EA-46B4-AA4C-0D4D59D3984A}">
      <text>
        <r>
          <rPr>
            <b/>
            <sz val="9"/>
            <color indexed="81"/>
            <rFont val="Tahoma"/>
            <family val="2"/>
          </rPr>
          <t xml:space="preserve">Description: </t>
        </r>
        <r>
          <rPr>
            <sz val="9"/>
            <color indexed="81"/>
            <rFont val="Tahoma"/>
            <family val="2"/>
          </rPr>
          <t xml:space="preserve">A quantitative approach to determine the nature and extent of disaster risk by analysing potential hazards and evaluating existing conditions of exposure and vulnerability that together could harm people, property, services, livelihoods and the environment on which they depend.
</t>
        </r>
      </text>
    </comment>
    <comment ref="AP2" authorId="1" shapeId="0" xr:uid="{F70F4465-04A9-41E6-892E-92D99C88E442}">
      <text>
        <r>
          <rPr>
            <b/>
            <sz val="9"/>
            <color indexed="81"/>
            <rFont val="Tahoma"/>
            <family val="2"/>
          </rPr>
          <t>Description:</t>
        </r>
        <r>
          <rPr>
            <sz val="9"/>
            <color indexed="81"/>
            <rFont val="Tahoma"/>
            <family val="2"/>
          </rPr>
          <t xml:space="preserve"> Accounts for changing conditions in the area under assessment, importance, seasonality, escalation etc. Avoids ranking hazards based on severity the risk alone. 
</t>
        </r>
      </text>
    </comment>
    <comment ref="B3" authorId="1" shapeId="0" xr:uid="{7BE78DA5-C831-4630-BA1B-B58C51CF814C}">
      <text>
        <r>
          <rPr>
            <b/>
            <sz val="9"/>
            <color indexed="81"/>
            <rFont val="Tahoma"/>
            <family val="2"/>
          </rPr>
          <t>Definition:</t>
        </r>
        <r>
          <rPr>
            <sz val="9"/>
            <color indexed="81"/>
            <rFont val="Tahoma"/>
            <family val="2"/>
          </rPr>
          <t xml:space="preserve"> A dangerous phenomenon, substance, human activity or condition that may cause loss of life, injury or other health impacts, property damage, loss of livelihoods and services, social and economic disruption, or environmental damage. </t>
        </r>
        <r>
          <rPr>
            <sz val="9"/>
            <color indexed="81"/>
            <rFont val="Tahoma"/>
            <family val="2"/>
          </rPr>
          <t xml:space="preserve">
</t>
        </r>
      </text>
    </comment>
    <comment ref="C3" authorId="1" shapeId="0" xr:uid="{87A03EA8-FAD4-4102-94B6-80A15AD98BBB}">
      <text>
        <r>
          <rPr>
            <b/>
            <sz val="9"/>
            <color indexed="81"/>
            <rFont val="Tahoma"/>
            <family val="2"/>
          </rPr>
          <t>Description:</t>
        </r>
        <r>
          <rPr>
            <sz val="9"/>
            <color indexed="81"/>
            <rFont val="Tahoma"/>
            <family val="2"/>
          </rPr>
          <t xml:space="preserve"> The entity tasked with primary responsibility for a particular disaster risk management activity.
Responsibility should be assigned through legislation to a specific organ of state which will be responsible for reduction, preparedness  response and recovery of the allocated hazard  or activity.</t>
        </r>
      </text>
    </comment>
    <comment ref="D3" authorId="1" shapeId="0" xr:uid="{973579A4-D787-4090-AF94-2699F44828B8}">
      <text>
        <r>
          <rPr>
            <b/>
            <sz val="9"/>
            <color indexed="81"/>
            <rFont val="Tahoma"/>
            <family val="2"/>
          </rPr>
          <t xml:space="preserve">Description: </t>
        </r>
        <r>
          <rPr>
            <sz val="9"/>
            <color indexed="81"/>
            <rFont val="Tahoma"/>
            <family val="2"/>
          </rPr>
          <t>The entity tasked with secondary responsibility for a particular disaster risk management activity.</t>
        </r>
        <r>
          <rPr>
            <b/>
            <sz val="9"/>
            <color indexed="81"/>
            <rFont val="Tahoma"/>
            <family val="2"/>
          </rPr>
          <t xml:space="preserve">
</t>
        </r>
        <r>
          <rPr>
            <sz val="9"/>
            <color indexed="81"/>
            <rFont val="Tahoma"/>
            <family val="2"/>
          </rPr>
          <t xml:space="preserve">While primary responsibility for dealing with a  hazard can be assigned to a specific organ of  state, the impact of such a hazard will require the  involvement of other organs of state that are  responsible for specific activities such as  humanitarian relief, infrastructure repair,  emergency housing and emergency medical  services. Such activities may apply to more than  one hazard. Responsibility for preparedness and  response should therefore also be officially  assigned on the basis of responsibility for such  supporting activities. </t>
        </r>
      </text>
    </comment>
    <comment ref="E3" authorId="2" shapeId="0" xr:uid="{96761834-6393-487E-8661-88703F805EFE}">
      <text>
        <r>
          <rPr>
            <sz val="9"/>
            <color indexed="81"/>
            <rFont val="Tahoma"/>
            <family val="2"/>
          </rPr>
          <t xml:space="preserve">Could also include national and provincial entities such as parastatals; private sector; regulatory bodies and academic institutions
</t>
        </r>
      </text>
    </comment>
    <comment ref="F3" authorId="1" shapeId="0" xr:uid="{82EFA199-CCFE-476D-8079-DF7A3AEC2926}">
      <text>
        <r>
          <rPr>
            <b/>
            <sz val="9"/>
            <color indexed="81"/>
            <rFont val="Tahoma"/>
            <family val="2"/>
          </rPr>
          <t xml:space="preserve">Description: </t>
        </r>
        <r>
          <rPr>
            <sz val="9"/>
            <color indexed="81"/>
            <rFont val="Tahoma"/>
            <family val="2"/>
          </rPr>
          <t xml:space="preserve">The area potentially affected by the hazard in relation to the total area of the municipality under assessment (localised or widespread).
</t>
        </r>
      </text>
    </comment>
    <comment ref="H3" authorId="1" shapeId="0" xr:uid="{8F1BD5C0-7520-4664-BE48-37D6B943404B}">
      <text>
        <r>
          <rPr>
            <b/>
            <sz val="9"/>
            <color indexed="81"/>
            <rFont val="Tahoma"/>
            <family val="2"/>
          </rPr>
          <t xml:space="preserve">Definition: </t>
        </r>
        <r>
          <rPr>
            <sz val="9"/>
            <color indexed="81"/>
            <rFont val="Tahoma"/>
            <family val="2"/>
          </rPr>
          <t xml:space="preserve">In the context of disaster risk, probability refers to the frequency of occurrence or the return period of losses associated with hazardous events.
</t>
        </r>
      </text>
    </comment>
    <comment ref="J3" authorId="1" shapeId="0" xr:uid="{C1DCDB25-C1AC-47BC-811A-E745DBA568DF}">
      <text>
        <r>
          <rPr>
            <b/>
            <sz val="9"/>
            <color indexed="81"/>
            <rFont val="Tahoma"/>
            <family val="2"/>
          </rPr>
          <t xml:space="preserve">Definition: </t>
        </r>
        <r>
          <rPr>
            <sz val="9"/>
            <color indexed="81"/>
            <rFont val="Tahoma"/>
            <family val="2"/>
          </rPr>
          <t xml:space="preserve">The frequency of a hazard event is the number of times it occurs within a specified time interval.
</t>
        </r>
      </text>
    </comment>
    <comment ref="L3" authorId="1" shapeId="0" xr:uid="{4CF24DBF-C3FA-42D9-9C93-39CE543A41D6}">
      <text>
        <r>
          <rPr>
            <b/>
            <sz val="9"/>
            <color indexed="81"/>
            <rFont val="Tahoma"/>
            <family val="2"/>
          </rPr>
          <t xml:space="preserve">Description: </t>
        </r>
        <r>
          <rPr>
            <sz val="9"/>
            <color indexed="81"/>
            <rFont val="Tahoma"/>
            <family val="2"/>
          </rPr>
          <t>Predictability is the key to understand the nature of any disaster phenomenon and thereby to assess the chances of its recurrence. Unless a disaster has predictability, its occurrence cannot be forecast and therefore warning will not be possible.
Consider whether indicators exists to monitor the hazard, thus providing opportunity to predict its occurrence.</t>
        </r>
      </text>
    </comment>
    <comment ref="N3" authorId="1" shapeId="0" xr:uid="{E95655BF-2BB7-495B-A142-A409D1F3C142}">
      <text>
        <r>
          <rPr>
            <b/>
            <sz val="9"/>
            <color indexed="81"/>
            <rFont val="Tahoma"/>
            <family val="2"/>
          </rPr>
          <t>Description:</t>
        </r>
        <r>
          <rPr>
            <sz val="9"/>
            <color indexed="81"/>
            <rFont val="Tahoma"/>
            <family val="2"/>
          </rPr>
          <t xml:space="preserve"> (Area Affected + Probability + Frequency + Predictability) / 4
</t>
        </r>
      </text>
    </comment>
    <comment ref="O3" authorId="1" shapeId="0" xr:uid="{D6C51C71-2219-4051-A8D9-40A21D2CA4B2}">
      <text>
        <r>
          <rPr>
            <b/>
            <sz val="9"/>
            <color indexed="81"/>
            <rFont val="Tahoma"/>
            <family val="2"/>
          </rPr>
          <t xml:space="preserve">Description: </t>
        </r>
        <r>
          <rPr>
            <sz val="9"/>
            <color indexed="81"/>
            <rFont val="Tahoma"/>
            <family val="2"/>
          </rPr>
          <t xml:space="preserve">The influence of political stability (considering strength of leadership, governance, cooperation between political parties, level of uncertainty and social unrest in the community etc.) in the context of known hazards.
</t>
        </r>
      </text>
    </comment>
    <comment ref="Q3" authorId="1" shapeId="0" xr:uid="{A47240BF-8525-4165-B234-70A7276C537A}">
      <text>
        <r>
          <rPr>
            <b/>
            <sz val="9"/>
            <color indexed="81"/>
            <rFont val="Tahoma"/>
            <family val="2"/>
          </rPr>
          <t xml:space="preserve">Description: </t>
        </r>
        <r>
          <rPr>
            <sz val="9"/>
            <color indexed="81"/>
            <rFont val="Tahoma"/>
            <family val="2"/>
          </rPr>
          <t xml:space="preserve">Economic assets and processes that could potentially be impacted by hazards (i.e. business interruption, secondary effects such as increased poverty and job loss) Vulnerability of different economic sectors. 
</t>
        </r>
      </text>
    </comment>
    <comment ref="S3" authorId="1" shapeId="0" xr:uid="{E99CA805-78B1-49FB-8B26-7F205154AF9B}">
      <text>
        <r>
          <rPr>
            <b/>
            <sz val="9"/>
            <color indexed="81"/>
            <rFont val="Tahoma"/>
            <family val="2"/>
          </rPr>
          <t xml:space="preserve">Description: </t>
        </r>
        <r>
          <rPr>
            <sz val="9"/>
            <color indexed="81"/>
            <rFont val="Tahoma"/>
            <family val="2"/>
          </rPr>
          <t xml:space="preserve">Vulnerable groups, such as the poor, single parent households, pregnant or lactating women, the handicapped, children, elderly, minority groups, uneducated, people living with co-morbidities, and households without access to basic services that could potentially be impacted by hazards. Consideration of populations living in high density areas, informal housing, areas exhibiting high population growth (natural / in-migration).
</t>
        </r>
      </text>
    </comment>
    <comment ref="U3" authorId="1" shapeId="0" xr:uid="{06175CD6-9C0F-457A-B584-2A63954C48B2}">
      <text>
        <r>
          <rPr>
            <b/>
            <sz val="9"/>
            <color indexed="81"/>
            <rFont val="Tahoma"/>
            <family val="2"/>
          </rPr>
          <t xml:space="preserve">Description: </t>
        </r>
        <r>
          <rPr>
            <sz val="9"/>
            <color indexed="81"/>
            <rFont val="Tahoma"/>
            <family val="2"/>
          </rPr>
          <t xml:space="preserve">The technological systems and / or critical infrastructure that may fail and / or be damaged or disrupted due to the impact of hazards. 
</t>
        </r>
      </text>
    </comment>
    <comment ref="W3" authorId="1" shapeId="0" xr:uid="{BD44B9EB-0DFE-4C85-8329-C52B99B62573}">
      <text>
        <r>
          <rPr>
            <b/>
            <sz val="9"/>
            <color indexed="81"/>
            <rFont val="Tahoma"/>
            <family val="2"/>
          </rPr>
          <t xml:space="preserve">Description: </t>
        </r>
        <r>
          <rPr>
            <sz val="9"/>
            <color indexed="81"/>
            <rFont val="Tahoma"/>
            <family val="2"/>
          </rPr>
          <t xml:space="preserve">Elements within the natural environment that can potentially be impacted by hazardous events (flora, fauna, ecosystems, biodiversity).
</t>
        </r>
      </text>
    </comment>
    <comment ref="Z3" authorId="1" shapeId="0" xr:uid="{CC6CB827-2413-4103-803E-9787CC63ADE9}">
      <text>
        <r>
          <rPr>
            <b/>
            <sz val="9"/>
            <color indexed="81"/>
            <rFont val="Tahoma"/>
            <family val="2"/>
          </rPr>
          <t xml:space="preserve">Description: </t>
        </r>
        <r>
          <rPr>
            <sz val="9"/>
            <color indexed="81"/>
            <rFont val="Tahoma"/>
            <family val="2"/>
          </rPr>
          <t xml:space="preserve">The capability of an institution to set and achieve disaster risk management-related goals in relation to specific disaster risks identified, through knowledge, skills, systems, structures and institutions.
</t>
        </r>
      </text>
    </comment>
    <comment ref="AB3" authorId="1" shapeId="0" xr:uid="{DDB665FB-2F34-468F-82F1-35D561B22533}">
      <text>
        <r>
          <rPr>
            <b/>
            <sz val="9"/>
            <color indexed="81"/>
            <rFont val="Tahoma"/>
            <family val="2"/>
          </rPr>
          <t xml:space="preserve">Description: </t>
        </r>
        <r>
          <rPr>
            <sz val="9"/>
            <color indexed="81"/>
            <rFont val="Tahoma"/>
            <family val="2"/>
          </rPr>
          <t xml:space="preserve">The level of capacity available that determines the programme approach in relation to disaster risk reduction (i.e. focus on reactive programmes may be indicative of limited programme capacity, while the ability to plan and implement more proactive programmes may be indicative of greater programme capacity). 
</t>
        </r>
      </text>
    </comment>
    <comment ref="AF3" authorId="1" shapeId="0" xr:uid="{03F1CEA1-1145-41E6-ACAF-923900070C3E}">
      <text>
        <r>
          <rPr>
            <b/>
            <sz val="9"/>
            <color indexed="81"/>
            <rFont val="Tahoma"/>
            <family val="2"/>
          </rPr>
          <t xml:space="preserve">Description: </t>
        </r>
        <r>
          <rPr>
            <sz val="9"/>
            <color indexed="81"/>
            <rFont val="Tahoma"/>
            <family val="2"/>
          </rPr>
          <t xml:space="preserve">Capacity to fund disaster risk
management with specific emphasis on preventing or reducing the risk of disasters,
including contributions to post-disaster response, relief, recovery and rehabilitation. Emphasis on funding DRM activities in a sustainable way. 
</t>
        </r>
      </text>
    </comment>
    <comment ref="AH3" authorId="1" shapeId="0" xr:uid="{2FA9422D-EE0E-4060-B2C0-AD3A9EC8AEBA}">
      <text>
        <r>
          <rPr>
            <b/>
            <sz val="9"/>
            <color indexed="81"/>
            <rFont val="Tahoma"/>
            <family val="2"/>
          </rPr>
          <t xml:space="preserve">Description: </t>
        </r>
        <r>
          <rPr>
            <sz val="9"/>
            <color indexed="81"/>
            <rFont val="Tahoma"/>
            <family val="2"/>
          </rPr>
          <t xml:space="preserve">Refers to the human ability and skills involved in individuals and teams to successfully plan for and implement disaster risk reduction measures.
</t>
        </r>
      </text>
    </comment>
    <comment ref="AJ3" authorId="1" shapeId="0" xr:uid="{FBF62522-8EAD-4E6A-A5C3-3B519791EFF0}">
      <text>
        <r>
          <rPr>
            <b/>
            <sz val="9"/>
            <color indexed="81"/>
            <rFont val="Tahoma"/>
            <family val="2"/>
          </rPr>
          <t xml:space="preserve">Description: </t>
        </r>
        <r>
          <rPr>
            <sz val="9"/>
            <color indexed="81"/>
            <rFont val="Tahoma"/>
            <family val="2"/>
          </rPr>
          <t xml:space="preserve">Refers to support available to assist in achieving organisational purpose and objectives, including support required to address capacity deficits.
</t>
        </r>
      </text>
    </comment>
    <comment ref="AM3" authorId="1" shapeId="0" xr:uid="{491E798D-6057-487B-BD6B-37AFC584E03D}">
      <text>
        <r>
          <rPr>
            <b/>
            <sz val="9"/>
            <color indexed="81"/>
            <rFont val="Tahoma"/>
            <family val="2"/>
          </rPr>
          <t xml:space="preserve">Description: </t>
        </r>
        <r>
          <rPr>
            <sz val="9"/>
            <color indexed="81"/>
            <rFont val="Tahoma"/>
            <family val="2"/>
          </rPr>
          <t xml:space="preserve">The capacity of a system, community or society, potentially exposed to hazards, to adapt by resisting or changing in order to reach and maintain an acceptable level of function and structure. This is determined by the degree to which the social system is capable of organising itself to increase this capacity for learning from past disasters for better future protection and to improve disaster risk reduction measures.
</t>
        </r>
      </text>
    </comment>
    <comment ref="AP3" authorId="1" shapeId="0" xr:uid="{4BC538A9-2140-4612-B299-25FFB3C296BB}">
      <text>
        <r>
          <rPr>
            <b/>
            <sz val="9"/>
            <color indexed="81"/>
            <rFont val="Tahoma"/>
            <family val="2"/>
          </rPr>
          <t xml:space="preserve">Description: </t>
        </r>
        <r>
          <rPr>
            <sz val="9"/>
            <color indexed="81"/>
            <rFont val="Tahoma"/>
            <family val="2"/>
          </rPr>
          <t xml:space="preserve">The relative significance given to it in terms of community priorities and development plans or critical facility / vulnerable area.
</t>
        </r>
      </text>
    </comment>
    <comment ref="AR3" authorId="1" shapeId="0" xr:uid="{A517911F-39B1-4290-9398-9098BE18018E}">
      <text>
        <r>
          <rPr>
            <b/>
            <sz val="9"/>
            <color indexed="81"/>
            <rFont val="Tahoma"/>
            <family val="2"/>
          </rPr>
          <t xml:space="preserve">Description: </t>
        </r>
        <r>
          <rPr>
            <sz val="9"/>
            <color indexed="81"/>
            <rFont val="Tahoma"/>
            <family val="2"/>
          </rPr>
          <t xml:space="preserve">How essential it is that something must be done immediately - the time factor or recovery time objective
</t>
        </r>
      </text>
    </comment>
    <comment ref="AT3" authorId="1" shapeId="0" xr:uid="{C8875755-856E-413C-BF2C-05527CBF35ED}">
      <text>
        <r>
          <rPr>
            <b/>
            <sz val="9"/>
            <color indexed="81"/>
            <rFont val="Tahoma"/>
            <family val="2"/>
          </rPr>
          <t xml:space="preserve">Description: </t>
        </r>
        <r>
          <rPr>
            <sz val="9"/>
            <color indexed="81"/>
            <rFont val="Tahoma"/>
            <family val="2"/>
          </rPr>
          <t xml:space="preserve">Is whether the situation will improve or deteriorate (will the effect of the situation become worse, stay the same or improve as time passes if nothing additional is done?)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author>
  </authors>
  <commentList>
    <comment ref="C35" authorId="0" shapeId="0" xr:uid="{D4EB6E27-23EC-4C32-A5E3-90169D596FB2}">
      <text>
        <r>
          <rPr>
            <b/>
            <sz val="9"/>
            <color indexed="81"/>
            <rFont val="Tahoma"/>
            <family val="2"/>
          </rPr>
          <t xml:space="preserve">Description: </t>
        </r>
        <r>
          <rPr>
            <sz val="9"/>
            <color indexed="81"/>
            <rFont val="Tahoma"/>
            <family val="2"/>
          </rPr>
          <t>applies to entities that 
have not previously developed a coherent disaster risk management plan in relation to identified hazard/risk.
Emphasis on reactive programmes including preparedness, response and recovery programmes.</t>
        </r>
      </text>
    </comment>
    <comment ref="D35" authorId="0" shapeId="0" xr:uid="{F2F9D9AA-DCEF-49F7-89E2-50AB7FB3A95B}">
      <text>
        <r>
          <rPr>
            <b/>
            <sz val="9"/>
            <color indexed="81"/>
            <rFont val="Tahoma"/>
            <family val="2"/>
          </rPr>
          <t>Description: A</t>
        </r>
        <r>
          <rPr>
            <sz val="9"/>
            <color indexed="81"/>
            <rFont val="Tahoma"/>
            <family val="2"/>
          </rPr>
          <t>pplies to entities that have established foundational institutional arrangements, and are building the capabilities needed to carry out comprehensive disaster risk management activities. It includes establishing processes for a comprehensive disaster risk assessment, identifying formal consultative mechanisms for the development of disaster risk reduction projects, and 
introducing a supportive disaster risk management information system and emergency communication capabilities.</t>
        </r>
      </text>
    </comment>
    <comment ref="E35" authorId="0" shapeId="0" xr:uid="{0A124FC6-C2D7-4166-AE12-19F859E6DB14}">
      <text>
        <r>
          <rPr>
            <b/>
            <sz val="9"/>
            <color indexed="81"/>
            <rFont val="Tahoma"/>
            <family val="2"/>
          </rPr>
          <t xml:space="preserve">Description: </t>
        </r>
        <r>
          <rPr>
            <sz val="9"/>
            <color indexed="81"/>
            <rFont val="Tahoma"/>
            <family val="2"/>
          </rPr>
          <t>Applies to entities that have established foundational institutional arrangements for disaster risk management and essential supportive capabilities. The plan must specify clear institutional arrangements for coordinating and aligning the plan with other governmental initiatives and plans of institutional role players. It must show evidence of informed disaster risk assessment and 
ongoing disaster risk monitoring capabilities as well as relevant developmental measures that reduce the vulnerability of disaster-prone areas, communities  and households.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Francis</author>
  </authors>
  <commentList>
    <comment ref="A7" authorId="0" shapeId="0" xr:uid="{13C2BEE3-E57D-45DD-8A48-F63DDA340F8C}">
      <text>
        <r>
          <rPr>
            <b/>
            <sz val="9"/>
            <color indexed="81"/>
            <rFont val="Tahoma"/>
            <family val="2"/>
          </rPr>
          <t xml:space="preserve">Description: </t>
        </r>
        <r>
          <rPr>
            <sz val="9"/>
            <color indexed="81"/>
            <rFont val="Tahoma"/>
            <family val="2"/>
          </rPr>
          <t xml:space="preserve">The influence of political stability (considering strength of leadership, governance, cooperation between political parties, level of uncertainty and social unrest in the community etc.) in the context of known hazards.
</t>
        </r>
      </text>
    </comment>
    <comment ref="C7" authorId="0" shapeId="0" xr:uid="{21E8BAB8-236F-4F54-8E2F-37D1CDB955BB}">
      <text>
        <r>
          <rPr>
            <b/>
            <sz val="9"/>
            <color indexed="81"/>
            <rFont val="Tahoma"/>
            <family val="2"/>
          </rPr>
          <t xml:space="preserve">Description: </t>
        </r>
        <r>
          <rPr>
            <sz val="9"/>
            <color indexed="81"/>
            <rFont val="Tahoma"/>
            <family val="2"/>
          </rPr>
          <t xml:space="preserve">Economic assets and processes that could potentially be impacted by hazards (i.e. business interruption, secondary effects such as increased poverty and job loss) Vulnerability of different economic sectors. 
</t>
        </r>
      </text>
    </comment>
    <comment ref="E7" authorId="0" shapeId="0" xr:uid="{D14F7832-CB33-4D27-85B3-287488446615}">
      <text>
        <r>
          <rPr>
            <b/>
            <sz val="9"/>
            <color indexed="81"/>
            <rFont val="Tahoma"/>
            <family val="2"/>
          </rPr>
          <t xml:space="preserve">Description: </t>
        </r>
        <r>
          <rPr>
            <sz val="9"/>
            <color indexed="81"/>
            <rFont val="Tahoma"/>
            <family val="2"/>
          </rPr>
          <t>Vulnerable groups, such as the poor, single parent households, pregnant or lactating women, the handicapped, children, elderly, minority groups, uneducated, people living with co-morbidities, and households without access to basic services that could potentially be impacted by hazards. Consideration of populations living in high density areas, informal housing, areas exhibiting high population growth (natural / in-migration).</t>
        </r>
      </text>
    </comment>
    <comment ref="G7" authorId="0" shapeId="0" xr:uid="{C00AF672-8C1C-445A-82B1-2F70CB071B28}">
      <text>
        <r>
          <rPr>
            <b/>
            <sz val="9"/>
            <color indexed="81"/>
            <rFont val="Tahoma"/>
            <family val="2"/>
          </rPr>
          <t>Description:</t>
        </r>
        <r>
          <rPr>
            <sz val="9"/>
            <color indexed="81"/>
            <rFont val="Tahoma"/>
            <family val="2"/>
          </rPr>
          <t xml:space="preserve"> The technological systems and / or critical infrastructure that may fail and / or be damaged or disrupted due to the impact of hazards. 
</t>
        </r>
      </text>
    </comment>
    <comment ref="I7" authorId="0" shapeId="0" xr:uid="{17669D6A-F1D3-45AF-B2B0-2FB61270F2DC}">
      <text>
        <r>
          <rPr>
            <b/>
            <sz val="9"/>
            <color indexed="81"/>
            <rFont val="Tahoma"/>
            <family val="2"/>
          </rPr>
          <t xml:space="preserve">Description: </t>
        </r>
        <r>
          <rPr>
            <sz val="9"/>
            <color indexed="81"/>
            <rFont val="Tahoma"/>
            <family val="2"/>
          </rPr>
          <t>Elements within the natural environment that can potentially be impacted by hazardous events (flora, fauna, ecosystems, biodiversity).</t>
        </r>
      </text>
    </comment>
    <comment ref="E8" authorId="0" shapeId="0" xr:uid="{976FC3D4-9C6B-4E5D-B636-28FEF62CE116}">
      <text>
        <r>
          <rPr>
            <b/>
            <sz val="9"/>
            <color indexed="81"/>
            <rFont val="Tahoma"/>
            <family val="2"/>
          </rPr>
          <t xml:space="preserve">Note: </t>
        </r>
        <r>
          <rPr>
            <sz val="9"/>
            <color indexed="81"/>
            <rFont val="Tahoma"/>
            <family val="2"/>
          </rPr>
          <t>These inputs (social attributes) will provide an indication of the possible expected level of injuries, fatalities and / or displacement that could be sustained by affected populations. E.g. Low levels of education combined with densely populated areas with low access to basic services and high levels of co-morbidities may result in higher numbers of people falling ill or dying as a result of communicable diseases.</t>
        </r>
      </text>
    </comment>
    <comment ref="A11" authorId="0" shapeId="0" xr:uid="{F4661DB7-F9D5-4DD5-9401-B26B28B42D76}">
      <text>
        <r>
          <rPr>
            <b/>
            <sz val="9"/>
            <color indexed="81"/>
            <rFont val="Tahoma"/>
            <family val="2"/>
          </rPr>
          <t xml:space="preserve">Description: </t>
        </r>
        <r>
          <rPr>
            <sz val="9"/>
            <color indexed="81"/>
            <rFont val="Tahoma"/>
            <family val="2"/>
          </rPr>
          <t xml:space="preserve">The capability of an institution to set and achieve disaster risk management-related goals in relation to specific disaster risks identified, through knowledge, skills, systems, structures and institutions.
</t>
        </r>
      </text>
    </comment>
    <comment ref="C11" authorId="0" shapeId="0" xr:uid="{77A536DD-B33D-4571-9A5C-A0CC81E9232F}">
      <text>
        <r>
          <rPr>
            <b/>
            <sz val="9"/>
            <color indexed="81"/>
            <rFont val="Tahoma"/>
            <family val="2"/>
          </rPr>
          <t xml:space="preserve">Description: </t>
        </r>
        <r>
          <rPr>
            <sz val="9"/>
            <color indexed="81"/>
            <rFont val="Tahoma"/>
            <family val="2"/>
          </rPr>
          <t xml:space="preserve">The level of capacity available that determines the programme approach in relation to disaster risk reduction (i.e. focus on reactive programmes may be indicative of limited programme capacity, while the ability to plan and implement more proactive programmes may be indicative of greater programme capacity). </t>
        </r>
      </text>
    </comment>
    <comment ref="E11" authorId="0" shapeId="0" xr:uid="{25D42669-E15F-4BFB-B358-63A6CBC6E62B}">
      <text>
        <r>
          <rPr>
            <b/>
            <sz val="9"/>
            <color indexed="81"/>
            <rFont val="Tahoma"/>
            <family val="2"/>
          </rPr>
          <t xml:space="preserve">Description: </t>
        </r>
        <r>
          <rPr>
            <sz val="9"/>
            <color indexed="81"/>
            <rFont val="Tahoma"/>
            <family val="2"/>
          </rPr>
          <t xml:space="preserve">Any process that directly engages the public in decision-making and gives full consideration to public input in making that decision. 
</t>
        </r>
      </text>
    </comment>
    <comment ref="G11" authorId="0" shapeId="0" xr:uid="{F684151A-EBBF-43C9-832C-B0D1B38EE9BC}">
      <text>
        <r>
          <rPr>
            <b/>
            <sz val="9"/>
            <color indexed="81"/>
            <rFont val="Tahoma"/>
            <family val="2"/>
          </rPr>
          <t xml:space="preserve">Description: </t>
        </r>
        <r>
          <rPr>
            <sz val="9"/>
            <color indexed="81"/>
            <rFont val="Tahoma"/>
            <family val="2"/>
          </rPr>
          <t xml:space="preserve">Capacity to fund disaster risk
management with specific emphasis on preventing or reducing the risk of disasters,
including contributions to post-disaster response, relief, recovery and rehabilitation. Emphasis on funding DRM activities in a sustainable way. </t>
        </r>
      </text>
    </comment>
    <comment ref="I11" authorId="0" shapeId="0" xr:uid="{488AFEF5-CA67-4995-ABC6-F256378BAF1F}">
      <text>
        <r>
          <rPr>
            <b/>
            <sz val="9"/>
            <color indexed="81"/>
            <rFont val="Tahoma"/>
            <family val="2"/>
          </rPr>
          <t xml:space="preserve">Description: </t>
        </r>
        <r>
          <rPr>
            <sz val="9"/>
            <color indexed="81"/>
            <rFont val="Tahoma"/>
            <family val="2"/>
          </rPr>
          <t xml:space="preserve">Refers to the human ability and skills involved in individuals and teams to successfully plan for and implement disaster risk reduction measures.
</t>
        </r>
      </text>
    </comment>
    <comment ref="K11" authorId="0" shapeId="0" xr:uid="{5327C190-F702-4021-9F4E-0193D02E6E72}">
      <text>
        <r>
          <rPr>
            <b/>
            <sz val="9"/>
            <color indexed="81"/>
            <rFont val="Tahoma"/>
            <family val="2"/>
          </rPr>
          <t xml:space="preserve">Description: </t>
        </r>
        <r>
          <rPr>
            <sz val="9"/>
            <color indexed="81"/>
            <rFont val="Tahoma"/>
            <family val="2"/>
          </rPr>
          <t xml:space="preserve">Refers to support available to assist in achieving organisational purpose and objectives, including support required to address capacity deficits.
</t>
        </r>
      </text>
    </comment>
  </commentList>
</comments>
</file>

<file path=xl/sharedStrings.xml><?xml version="1.0" encoding="utf-8"?>
<sst xmlns="http://schemas.openxmlformats.org/spreadsheetml/2006/main" count="346" uniqueCount="300">
  <si>
    <t>HVC TOOL ASSESSMENT DETAILS</t>
  </si>
  <si>
    <t>Conducted by:</t>
  </si>
  <si>
    <t>Date Conducted:</t>
  </si>
  <si>
    <t>Conducted at: Local Municipality</t>
  </si>
  <si>
    <t>Season:</t>
  </si>
  <si>
    <t>HAZARD, VULNERABILITY AND CAPACITY ASSESSMENT TOOL</t>
  </si>
  <si>
    <t>RECOMMENDED ROLE PLAYERS OR LEAD AGENTS</t>
  </si>
  <si>
    <t>HAZARD ANALYSIS</t>
  </si>
  <si>
    <t>VULNERABILITY ANALYSIS</t>
  </si>
  <si>
    <t>CAPACITY ANALYSIS</t>
  </si>
  <si>
    <t>FINAL DISASTER RISK RATING</t>
  </si>
  <si>
    <t>DISASTER RISK PROFILE</t>
  </si>
  <si>
    <t>PRIORITY ANALYSIS</t>
  </si>
  <si>
    <t>PLEASE PROVIDE ADDITIONAL INFORMATION HERE</t>
  </si>
  <si>
    <t>HAZARD</t>
  </si>
  <si>
    <t>PRIMARY</t>
  </si>
  <si>
    <t>SECONDARY</t>
  </si>
  <si>
    <t xml:space="preserve">TERTIARY </t>
  </si>
  <si>
    <t>AFFECTED AREA</t>
  </si>
  <si>
    <t>PROBABILITY</t>
  </si>
  <si>
    <t>FREQUENCY</t>
  </si>
  <si>
    <t>PREDICTABILITY</t>
  </si>
  <si>
    <t>HAZARD SCORE</t>
  </si>
  <si>
    <t>POLITICAL</t>
  </si>
  <si>
    <t>ECONOMICAL</t>
  </si>
  <si>
    <t>SOCIAL/HUMAN</t>
  </si>
  <si>
    <t>TECHNOLOGICAL</t>
  </si>
  <si>
    <t>ENVIRONMENTAL</t>
  </si>
  <si>
    <t>VULNERABILITY SCORE</t>
  </si>
  <si>
    <t>INSTITUTIONAL AND MANAGEMENT CAPACITY</t>
  </si>
  <si>
    <t xml:space="preserve">PROGRAMME 
CAPACITY </t>
  </si>
  <si>
    <t>PUBLIC PARTICIPATION</t>
  </si>
  <si>
    <t>FINANCIAL CAPACITY/ RESOURCES</t>
  </si>
  <si>
    <t>PEOPLE CAPACITY AND 
COMPETENCIES</t>
  </si>
  <si>
    <t>SUPPORT NETWORK</t>
  </si>
  <si>
    <t>CAPACITY SCORE</t>
  </si>
  <si>
    <t>RESILIENCE INDEX</t>
  </si>
  <si>
    <t>IMPORTANCE</t>
  </si>
  <si>
    <t>URGENCY</t>
  </si>
  <si>
    <t>GROWTH</t>
  </si>
  <si>
    <t>PRIORITY INDEX</t>
  </si>
  <si>
    <t>PRIORITY PROFILE</t>
  </si>
  <si>
    <t xml:space="preserve">                             </t>
  </si>
  <si>
    <t>Affects only a very small part (roughly 20%)</t>
  </si>
  <si>
    <t>Unlikely</t>
  </si>
  <si>
    <t>Once every 5 years</t>
  </si>
  <si>
    <t>Predictable</t>
  </si>
  <si>
    <t>Very stable</t>
  </si>
  <si>
    <t>Unlikely impact on local economy</t>
  </si>
  <si>
    <t>Unlikely impact on society</t>
  </si>
  <si>
    <t>Unlikely impact or disruption to critical systems and services</t>
  </si>
  <si>
    <t>Limited impact on environmentally sensitive areas</t>
  </si>
  <si>
    <t>Policies, systems, processes and structures to effectively manage DRR activities largely non-existent or non-functional</t>
  </si>
  <si>
    <t>No or limited programme capacity</t>
  </si>
  <si>
    <t>No public participation or interest from public</t>
  </si>
  <si>
    <t>Limited or no budget allocation, severely limiting access to resources</t>
  </si>
  <si>
    <t>Limited or no training conducted, fundamental knowledge base</t>
  </si>
  <si>
    <t>No or limited support, mainly verbal understandings</t>
  </si>
  <si>
    <t>EXTREMELY HIGH</t>
  </si>
  <si>
    <t>Not important at all</t>
  </si>
  <si>
    <t>No immediate action required</t>
  </si>
  <si>
    <t xml:space="preserve">Situation will improve quickly </t>
  </si>
  <si>
    <t>Affects a small part (roughly 40%)</t>
  </si>
  <si>
    <t>Possible</t>
  </si>
  <si>
    <t>Annually</t>
  </si>
  <si>
    <t xml:space="preserve">Fairly accurate </t>
  </si>
  <si>
    <t>Limited political instability</t>
  </si>
  <si>
    <t>Slight impact on local economy</t>
  </si>
  <si>
    <t>Limited injuries  / discomfort  / displacement</t>
  </si>
  <si>
    <t>Limited impact or disruption to critical systems and services</t>
  </si>
  <si>
    <t>Moderate impact on environmentally sensitive areas</t>
  </si>
  <si>
    <t>Limited policies, systems, processes and structures to effectively manage DRR activities</t>
  </si>
  <si>
    <t xml:space="preserve">Level 1 plan in place </t>
  </si>
  <si>
    <t>Limited public participation or interest from public</t>
  </si>
  <si>
    <t>Limited or small budget allocation to support, emphasis on response and recovery activities and resources only</t>
  </si>
  <si>
    <t xml:space="preserve">Basic training conducted, informed understanding of the core elements of DRM </t>
  </si>
  <si>
    <t>Some agreements in place with internal role-players and external support network</t>
  </si>
  <si>
    <t>HIGH</t>
  </si>
  <si>
    <t>Negligible</t>
  </si>
  <si>
    <t>Some small interventions within the next month</t>
  </si>
  <si>
    <t>Situation will improve slowly</t>
  </si>
  <si>
    <t xml:space="preserve">Affects a part (roughly 60%) </t>
  </si>
  <si>
    <t>50/50 Chance</t>
  </si>
  <si>
    <t>Seasonally</t>
  </si>
  <si>
    <t xml:space="preserve">50/50 Chance </t>
  </si>
  <si>
    <t>Slight political instability and conflict</t>
  </si>
  <si>
    <t>Parts of the local economy are disrupted</t>
  </si>
  <si>
    <t>Multiple injuries / displacement of a small number of the population</t>
  </si>
  <si>
    <t>Moderate impact or disruption to critical systems and services</t>
  </si>
  <si>
    <t>Serious impact on environmentally sensitive areas</t>
  </si>
  <si>
    <t>Basic policies, systems, processes and structures to effectively manage DRR activities</t>
  </si>
  <si>
    <t xml:space="preserve">Level 2 plan in place </t>
  </si>
  <si>
    <t>Moderate public participation or interest from public</t>
  </si>
  <si>
    <t>Moderate budget allocation, considering both reactive and proactive DRM activities and resource requirements</t>
  </si>
  <si>
    <t>Training demonstrates detailed knowledge of the main areas of DRM</t>
  </si>
  <si>
    <t>Well established agreements between internal role-players and external support network</t>
  </si>
  <si>
    <t>TOLERABLE</t>
  </si>
  <si>
    <t>Important</t>
  </si>
  <si>
    <t>Some small interventions within the next week</t>
  </si>
  <si>
    <t>Situation will stay the same</t>
  </si>
  <si>
    <t>Affects a large part (roughly 80%)</t>
  </si>
  <si>
    <t>Likely</t>
  </si>
  <si>
    <t>Monthly</t>
  </si>
  <si>
    <t>Slight chance</t>
  </si>
  <si>
    <t>Politically unstable</t>
  </si>
  <si>
    <t>Local economy and economic activities are seriously disrupted</t>
  </si>
  <si>
    <t>Serious impact or disruption to critical systems and services</t>
  </si>
  <si>
    <t>Severe impact on environmentally sensitive areas</t>
  </si>
  <si>
    <t>Functional policies, systems, processes and structures to effectively manage DRR activities</t>
  </si>
  <si>
    <t>Level 3 plan in place</t>
  </si>
  <si>
    <t>Good public participation or interest from public</t>
  </si>
  <si>
    <t>Good budget allocation, with DRR activities and resources being prioritised</t>
  </si>
  <si>
    <t>Well-balanced training programme implemented to capacitate all role-players</t>
  </si>
  <si>
    <t>Comprehensive, fully formalised and dynamic support network with signed and executable agreements</t>
  </si>
  <si>
    <t>LOW</t>
  </si>
  <si>
    <t>Very important</t>
  </si>
  <si>
    <t>Integrated actions within the next 24 hours</t>
  </si>
  <si>
    <t>Situation will deteriorate slowly</t>
  </si>
  <si>
    <t>Affects the whole local municipality</t>
  </si>
  <si>
    <t>Certain</t>
  </si>
  <si>
    <t>Weekly</t>
  </si>
  <si>
    <t>Cannot predict</t>
  </si>
  <si>
    <t>Very politically unstable, dysfunctional political structures</t>
  </si>
  <si>
    <t>Local economy and economic activities are severely disrupted</t>
  </si>
  <si>
    <t>Severe impact or disruption to critical systems and services</t>
  </si>
  <si>
    <t>Significant impact on environmentally sensitive areas</t>
  </si>
  <si>
    <t>Comprehensive policies, systems, processes and structures to effectively manage DRR activities</t>
  </si>
  <si>
    <t>Integrated and proactive plans and programmes in place</t>
  </si>
  <si>
    <t>Full public participation or interest from public</t>
  </si>
  <si>
    <t>Budget allocation for the entire DRM spectrum with emphasis on DRR and development activities with adequate provisions</t>
  </si>
  <si>
    <t>Integrated multi-disciplinary and multi-sector teams are fully trained and demonstrate knowledge of and engagement in DRM</t>
  </si>
  <si>
    <t xml:space="preserve">Comprehensive and dynamic network in place between internal and external role-players,  tested, can be implemented </t>
  </si>
  <si>
    <t>NEGLIGIBLE</t>
  </si>
  <si>
    <t>Critically important</t>
  </si>
  <si>
    <t>Immediate drastic action required</t>
  </si>
  <si>
    <t>Situation will definite deteriorate quickly</t>
  </si>
  <si>
    <t xml:space="preserve">This document is a sample Hazard Vulnerability Capacity Assessment tool.  </t>
  </si>
  <si>
    <t xml:space="preserve">Individuals using this tool are solely responsible for any Disaster Risk Assessment and compliance with applicable laws and regulations. </t>
  </si>
  <si>
    <t>INSTRUCTIONS:</t>
  </si>
  <si>
    <t xml:space="preserve">Evaluate potential utilising the specific scale and indicators below. </t>
  </si>
  <si>
    <t>Please note specific score criteria on each work sheet to ensure accurate recording.</t>
  </si>
  <si>
    <t>RISK RATING INDICATORS</t>
  </si>
  <si>
    <t>Affected area</t>
  </si>
  <si>
    <t xml:space="preserve">Affect a very small area </t>
  </si>
  <si>
    <t>Affect a small area</t>
  </si>
  <si>
    <t>Affects just over half of the local municipality</t>
  </si>
  <si>
    <t>Affects a large area</t>
  </si>
  <si>
    <t>Affects the whole local municipality.</t>
  </si>
  <si>
    <t>Affects only a very small part (roughly 20%) of a local municipality.</t>
  </si>
  <si>
    <t>Affects a small part (roughly 40%) of a local municipality.</t>
  </si>
  <si>
    <t>Affects a part (roughly 60%) of a local municipality.</t>
  </si>
  <si>
    <t>Affects a large part (roughly 80%) of a local municipality.</t>
  </si>
  <si>
    <t>Probability</t>
  </si>
  <si>
    <t>Highly improbable</t>
  </si>
  <si>
    <t>Slight probability</t>
  </si>
  <si>
    <t>Very good chance.</t>
  </si>
  <si>
    <t>Highly probable</t>
  </si>
  <si>
    <t>50/50 chance</t>
  </si>
  <si>
    <t>Frequency</t>
  </si>
  <si>
    <t>Can occur once every 5 years or more.</t>
  </si>
  <si>
    <t xml:space="preserve">Can occur annually. </t>
  </si>
  <si>
    <t>Can occur seasonally</t>
  </si>
  <si>
    <t>Can occur monthly</t>
  </si>
  <si>
    <t>Can occur weekly</t>
  </si>
  <si>
    <t>Predictability</t>
  </si>
  <si>
    <t>Fairly predictable</t>
  </si>
  <si>
    <t>50/50 chance to predict</t>
  </si>
  <si>
    <t>Slight chance to predict</t>
  </si>
  <si>
    <t>VULNERABILITY</t>
  </si>
  <si>
    <t>Not vulnerable</t>
  </si>
  <si>
    <t>Slightly vulnerable</t>
  </si>
  <si>
    <t>Vulnerable</t>
  </si>
  <si>
    <t>Seriously vulnerable</t>
  </si>
  <si>
    <t>Extremely vulnerable</t>
  </si>
  <si>
    <t>Political</t>
  </si>
  <si>
    <t>Very stable political condition.</t>
  </si>
  <si>
    <t xml:space="preserve">Limited political instability in the local municipality. </t>
  </si>
  <si>
    <t xml:space="preserve">Slight political instability and conflict resulting in uncertainty in the local municipality. </t>
  </si>
  <si>
    <t xml:space="preserve">Politically unstable resulting in disruptive political activities. </t>
  </si>
  <si>
    <t xml:space="preserve">Very politically unstable resulting in dysfunctional political structures negatively influences the community life and could result in civil unrest. </t>
  </si>
  <si>
    <t>Economic</t>
  </si>
  <si>
    <t xml:space="preserve">Impact on local economy and economic activities (formal and informal) is unlikely. </t>
  </si>
  <si>
    <t xml:space="preserve">Slight impact on local economy and economic activities (formal and informal). </t>
  </si>
  <si>
    <t>Parts of the local economy and economic activities are disrupted which could result in low levels of unemployment and/ or loss of livelihoods</t>
  </si>
  <si>
    <t>Local economy and economic activities are seriously disrupted, which could result in a moderate levels of unemployment and/ or loss of livelihoods.</t>
  </si>
  <si>
    <t>Local economy and economic activities are severely disrupted, which could result in a high level of unemployment and loss of livelihoods.</t>
  </si>
  <si>
    <t>Social</t>
  </si>
  <si>
    <t>Unlikely impact on society (individuals/ households / groups / communities).</t>
  </si>
  <si>
    <t>Limited injuries and/or discomfort and/or displacement of individuals / households / groups / communities.</t>
  </si>
  <si>
    <t>Multiple injuries and/or displacement of a small number of individuals / households / groups / communities.</t>
  </si>
  <si>
    <t>Multiple injuries and fatalities and/or displacement of a large number of individuals / households / groups / communities.</t>
  </si>
  <si>
    <t>Multiple fatalities / injuries and damages and/or major / permanent displacement of a significant number of the population in the local municipality.</t>
  </si>
  <si>
    <t>Technological</t>
  </si>
  <si>
    <t>Unlikely impact or disruption to critical systems and services.</t>
  </si>
  <si>
    <t>Limited impact or disruption to critical systems and services.</t>
  </si>
  <si>
    <t>Moderate impact or disruption to critical systems and services.</t>
  </si>
  <si>
    <t xml:space="preserve">Serious impact and/ or disruption to critical systems and services. </t>
  </si>
  <si>
    <t>Severe impact and disruption to critical systems and services.</t>
  </si>
  <si>
    <t>Environmental</t>
  </si>
  <si>
    <t>Unlikely to impact ecosystem services and/or biodiversity and/or critical habitats and/or environmentally sensitive areas.</t>
  </si>
  <si>
    <t>Limited impact on ecosystem services and/or biodiversity and/or critical habitats and/or environmentally sensitive areas.</t>
  </si>
  <si>
    <t>Moderate impact on ecosystem services and/or biodiversity and/or critical habitats and/or environmentally sensitive areas.</t>
  </si>
  <si>
    <t xml:space="preserve">Serious impact on ecosystem services, biodiversity, critical habitats and environmentally sensitive areas.  </t>
  </si>
  <si>
    <t xml:space="preserve">Significant impact on ecosystem services, biodiversity, critical habitats and environmentally sensitive areas. </t>
  </si>
  <si>
    <t xml:space="preserve">CAPACITY </t>
  </si>
  <si>
    <t>Very low</t>
  </si>
  <si>
    <t>Low</t>
  </si>
  <si>
    <t>Medium</t>
  </si>
  <si>
    <t>High</t>
  </si>
  <si>
    <t>Very high</t>
  </si>
  <si>
    <t>Institutional and Management capacity</t>
  </si>
  <si>
    <t>Policies, systems, processes and structures to effectively manage DRR activities and to effectively coordinate with others in fulfilling their mandates are non-existent / non-functional.</t>
  </si>
  <si>
    <t>Limited policies, systems, processes and structures to effectively manage DRR activities and to effectively coordinate with others in fulfilling their mandates exist and/or are partially functional.</t>
  </si>
  <si>
    <t>Basic policies, systems, processes and structures to effectively manage DRR activities and to effectively coordinate with others in fulfilling their mandates exist and/or are partially functional.</t>
  </si>
  <si>
    <t>Functional policies, systems, processes and structures to effectively manage DRR activities and to effectively coordinate with others in fulfilling their mandates exist.</t>
  </si>
  <si>
    <t>Comprehensive functional policies, systems, processes and structures to effectively manage DRR activities and to effectively coordinate with others in fulfilling their mandates exist.</t>
  </si>
  <si>
    <t>Programme Capacity</t>
  </si>
  <si>
    <t>100% demonstrated and tested integrated and proactive plans and programmes in place with 100% support by all role-players</t>
  </si>
  <si>
    <t>Public Participation</t>
  </si>
  <si>
    <t>No public participation or interest from public. Serious lack of inclusion of public involvement in DRM activities.</t>
  </si>
  <si>
    <t>Limited public participation, it is largely orientated towards DRA with little to no inclusion in institutional arrangements, DRR and response activities.</t>
  </si>
  <si>
    <t>Moderate public participation in DRAs, public institutional arrangements established, however, participation in DRR and response activities remains limited.</t>
  </si>
  <si>
    <t>Good public participation in DRAs, established and functional institutional with good participation in DRR and/or response activities.</t>
  </si>
  <si>
    <t>Full public participation and interest from public. Inclusion of public involvement in all DRM activities.</t>
  </si>
  <si>
    <t>Financial capacity and resources</t>
  </si>
  <si>
    <t xml:space="preserve">Limited or no budget allocation to support the local municipal DRM mandate, severely limiting access to resources. </t>
  </si>
  <si>
    <t xml:space="preserve">Limited or small budget allocation to support the local municipal DRM mandate with an emphasis on response and recovery activities and resources only. </t>
  </si>
  <si>
    <t xml:space="preserve">Moderate budget allocation to support the local municipal DRM mandate, considering both reactive and proactive DRM activities and resource requirements. </t>
  </si>
  <si>
    <t xml:space="preserve">Good budget allocation to support the local municipal DRM mandate, with DRR activities and resources being prioritised. </t>
  </si>
  <si>
    <t xml:space="preserve">Budget allocation for the entire DRM spectrum with emphasis on DRR and development activities with adequate provisions made for a local municipality contingency fund. </t>
  </si>
  <si>
    <t>People capacity and competencies</t>
  </si>
  <si>
    <t xml:space="preserve">Limited or no training conducted for selected role-players. Demonstrates a fundamental knowledge base. </t>
  </si>
  <si>
    <t xml:space="preserve">Basic training conducted, demonstrates an informed understanding of the core elements of the discipline or practice of DRM in relation to the priority hazard.  </t>
  </si>
  <si>
    <t>Training conducted, demonstrates detailed knowledge of the main areas of DRM in relation to the priority hazard, discipline or practices with the ability to apply key concepts or principles to relevant contexts.</t>
  </si>
  <si>
    <t xml:space="preserve">Well-balanced training programme implemented to capacitate all role-players. Demonstrates integrated knowledge of the central areas of one or more fields of DRM (in relation to the hazard prioritised) or area of specialisation and application across other fields and disciplines. </t>
  </si>
  <si>
    <t xml:space="preserve">Integrated multi-disciplinary and multi-sector teams that are fully trained and demonstrate knowledge of and engagement in DRM discipline or practice (in relation to the hazard prioritised), demonstrating and understanding of the relevant  theories, methodologies and techniques, and how they are applied in a particular context. </t>
  </si>
  <si>
    <t>Support network</t>
  </si>
  <si>
    <t>No or limited support, mainly verbal understandings.</t>
  </si>
  <si>
    <t>Some agreements in place with internal role-players and external support network, but not sufficient to cater for all eventualities.</t>
  </si>
  <si>
    <t>Well established agreements between internal role-players and external support network including public-private partnerships.</t>
  </si>
  <si>
    <t>Comprehensive, fully formalised and dynamic support network with signed and executable agreements.</t>
  </si>
  <si>
    <t xml:space="preserve">Comprehensive and dynamic network in place between internal and external role-players , all aspects have been tested, can be implemented when the need arises and caters for all eventualities. </t>
  </si>
  <si>
    <t>PRIORITY</t>
  </si>
  <si>
    <t>Importance</t>
  </si>
  <si>
    <t>Urgency in terms of time</t>
  </si>
  <si>
    <t>No immediate action required - time is not essential</t>
  </si>
  <si>
    <t>Some small interventions are required within the next month</t>
  </si>
  <si>
    <t>Some small interventions are required within the next week</t>
  </si>
  <si>
    <t>Some integrated actions are required within the next 24 hours</t>
  </si>
  <si>
    <t>Growth potential</t>
  </si>
  <si>
    <t>If nothing is done the situation will improve quickly</t>
  </si>
  <si>
    <t>If nothing is done the situation will improve slowly</t>
  </si>
  <si>
    <t>If nothing is done the situation will stay the same</t>
  </si>
  <si>
    <t>If nothing is done the situation will deteriorate slowly</t>
  </si>
  <si>
    <t>If nothing is done the situation will deteriorate quickly</t>
  </si>
  <si>
    <t>DRR Strategies</t>
  </si>
  <si>
    <t>Tolerate / Accept</t>
  </si>
  <si>
    <t>Treat / Mitigate</t>
  </si>
  <si>
    <t>Transfer / Contingency Planning</t>
  </si>
  <si>
    <t>Terminate / Prevent</t>
  </si>
  <si>
    <t>Priorities</t>
  </si>
  <si>
    <t>Hazard Analysis Inputs</t>
  </si>
  <si>
    <t>Area affected</t>
  </si>
  <si>
    <t>Resources</t>
  </si>
  <si>
    <t>Geographic areas; 
Consider how localised or widespread the footprint of the hazard will be;
Proportion expressed as a percentage of the local municipality.</t>
  </si>
  <si>
    <t>Spatial layers using GIS; 
Digitised community-based DRA  maps</t>
  </si>
  <si>
    <t>Past experience;
Current reality; and 
Expected / possible projected changes in the environment, economy and society.</t>
  </si>
  <si>
    <t>Municipal incident logs;
Climate change reports</t>
  </si>
  <si>
    <t xml:space="preserve">Seasonal influence;
Trends observed in incident logs / past experience; and
Expected / possible projected changes in the environment, economy and society. </t>
  </si>
  <si>
    <t>Existing indicators used to monitor hazards;          Existing systems / functions in the municipality, province / country for predicting hazards; and
Expected / possible projected changes in the environment, economy and society</t>
  </si>
  <si>
    <t>Early warning authorities responsible for monitoring indicators associated with the hazard in question</t>
  </si>
  <si>
    <t>Vulnerability Analysis Inputs</t>
  </si>
  <si>
    <t>Coalition vs majority;
Number of service delivery protests; 
No. of by-elections;
Level of accountability;
Level of community participation;
Level of transparency;
Level of competency;
Level of corruption;
Quality of leadership</t>
  </si>
  <si>
    <t>Municipal Performance Dashboard;
Newspaper reports;
Council resolutions / minutes;
Incident logs</t>
  </si>
  <si>
    <t>Level of poverty;
No. of people receiving social grants;
Level of unemployment;
Type of economic sectors; 
Diversity of economic sectors; 
Type of livelihoods;
Levels of income</t>
  </si>
  <si>
    <t>PERO;
Municipal SEP;
IDP;
SDF;
CSIR Socio-economic index;
Economic Development;
Agriculture;
STATS SA</t>
  </si>
  <si>
    <t>Level of education;
No. of child-headed households;
No. of female-headed households;
Age distribution;
Health status of population;
Population density;
Housing type;
Minority groups; 
Access to basic services;
Population growth;
In-migration;
Household size</t>
  </si>
  <si>
    <t>PERO;
Municipal SEP;
IDP;
SDF;
CSIR Socio-economic index;
Social Development;
Relief agencies;
Human Settlements;
STATS SA</t>
  </si>
  <si>
    <t xml:space="preserve">Critical infrastructure
    Power
    Water &amp; sanitation
    Waste
    Transport
    ICT
</t>
  </si>
  <si>
    <t>PERO;
Municipal SEP;
IDP;
SDF;
Infrastructure Development;
Eskom;
Water &amp; Sanitation;
DEADP;
Transport;
SANRAL;
Transnet;
Mobile Networks &amp; other telecommunications</t>
  </si>
  <si>
    <t>Endemic species;
Biodiversity;
Environmental sensitive areas;
Types of ecosystem services;
Critical habitats;
Protected areas;
Open spaces;
Coastal areas;
Estuarine areas;
Riverine systems;
Catchment areas</t>
  </si>
  <si>
    <t>PERO;
Municipal SEP;
IDP;
SDF;
DEADP</t>
  </si>
  <si>
    <t>Capacity Analysis Inputs</t>
  </si>
  <si>
    <t>Institutional / Management</t>
  </si>
  <si>
    <t>Programme</t>
  </si>
  <si>
    <t>Financial</t>
  </si>
  <si>
    <t>People</t>
  </si>
  <si>
    <t>Support Networks</t>
  </si>
  <si>
    <t>Policies;
Strategies;
Structures (forums, task teams, committees);
Systems (communication, GIS, project management, monitoring);
Mechanisms; and 
Centres</t>
  </si>
  <si>
    <t>Municipal and Provincial DRM;
Municipal and Provincial Disaster Management Advisory Forums;
Hazard Owners</t>
  </si>
  <si>
    <t>Hazard-specific contingency plans;
Generic contingency plans;
Hazard-specific disaster management plans;
Generic disaster management plans;
Disaster risk reduction plans linked to priority hazards;
Level of integration of DRM in municipal IDP</t>
  </si>
  <si>
    <t>IDP;
SDF;
Climate Change Plans;
Disaster Management Plans;
Hazard owners</t>
  </si>
  <si>
    <t>Evidence of public participation in disaster risk assessment, disaster risk reduction and response &amp; recovery efforts; 
Hazard-specific awareness campaigns;
Seasonal awareness campaigns;
Public / community institutional arrangements</t>
  </si>
  <si>
    <t>IDP;
Municipal DRM;
Hazard owners;
Community organisations;
NGOs</t>
  </si>
  <si>
    <t>Budget allocation across DRM KPAs and Enablers; 
Access to resources;
Provisions for sufficient human capacity and equipment</t>
  </si>
  <si>
    <t>IDP;
Disaster management plans;
Hazard owners;
Organograms;
Equipment inventory</t>
  </si>
  <si>
    <t>Level of training;
Level of knowledge;
Level of implementation;
Level of experience;
Level of engagement;
Level of specialisation;
% positions filled against planned</t>
  </si>
  <si>
    <t>Municipal competency framework;
Level of qualifications;
Experience</t>
  </si>
  <si>
    <t>Gaps and support requirements identified;
Agreements in place</t>
  </si>
  <si>
    <t>Capacity assessment outcomes;
MOUs;
MOAs;
SLAs;
MAAs; and 
Verbal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</si>
</sst>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C09]dd\ mmmm\ yyyy;@"/>
  </numFmts>
  <fonts count="34">
    <font>
      <sz val="12"/>
      <color theme="1"/>
      <name val="Calibri"/>
      <family val="2"/>
      <scheme val="minor"/>
    </font>
    <font>
      <sz val="12"/>
      <color theme="0"/>
      <name val="Calibri"/>
      <family val="2"/>
      <scheme val="minor"/>
    </font>
    <font>
      <sz val="10"/>
      <name val="Arial"/>
      <family val="2"/>
    </font>
    <font>
      <b/>
      <sz val="9"/>
      <color rgb="FF000000"/>
      <name val="Tahoma"/>
      <family val="2"/>
    </font>
    <font>
      <b/>
      <sz val="10"/>
      <name val="Calibri"/>
      <family val="2"/>
      <scheme val="minor"/>
    </font>
    <font>
      <sz val="10"/>
      <name val="Century Gothic"/>
      <family val="2"/>
    </font>
    <font>
      <b/>
      <sz val="12"/>
      <name val="Century Gothic"/>
      <family val="2"/>
    </font>
    <font>
      <b/>
      <sz val="10"/>
      <name val="Century Gothic"/>
      <family val="2"/>
    </font>
    <font>
      <b/>
      <sz val="12"/>
      <color theme="0"/>
      <name val="Century Gothic"/>
      <family val="2"/>
    </font>
    <font>
      <b/>
      <sz val="9"/>
      <name val="Century Gothic"/>
      <family val="2"/>
    </font>
    <font>
      <b/>
      <sz val="12"/>
      <color theme="0"/>
      <name val="Arial"/>
      <family val="2"/>
    </font>
    <font>
      <b/>
      <sz val="10"/>
      <name val="Arial"/>
      <family val="2"/>
    </font>
    <font>
      <sz val="12"/>
      <name val="Arial"/>
      <family val="2"/>
    </font>
    <font>
      <sz val="12"/>
      <name val="Century Gothic"/>
      <family val="2"/>
    </font>
    <font>
      <i/>
      <sz val="12"/>
      <name val="Arial"/>
      <family val="2"/>
    </font>
    <font>
      <i/>
      <sz val="12"/>
      <name val="Century Gothic"/>
      <family val="2"/>
    </font>
    <font>
      <sz val="10"/>
      <color theme="0"/>
      <name val="Arial"/>
      <family val="2"/>
    </font>
    <font>
      <sz val="11"/>
      <color theme="1"/>
      <name val="Arial"/>
      <family val="2"/>
    </font>
    <font>
      <b/>
      <sz val="11"/>
      <name val="Arial"/>
      <family val="2"/>
    </font>
    <font>
      <b/>
      <sz val="11"/>
      <color theme="1"/>
      <name val="Arial"/>
      <family val="2"/>
    </font>
    <font>
      <sz val="11"/>
      <name val="Arial"/>
      <family val="2"/>
    </font>
    <font>
      <b/>
      <sz val="11"/>
      <color theme="0"/>
      <name val="Arial"/>
      <family val="2"/>
    </font>
    <font>
      <sz val="11"/>
      <color theme="0"/>
      <name val="Arial"/>
      <family val="2"/>
    </font>
    <font>
      <b/>
      <sz val="11"/>
      <color rgb="FFFFFFFF"/>
      <name val="Arial"/>
      <family val="2"/>
    </font>
    <font>
      <i/>
      <sz val="11"/>
      <color theme="1"/>
      <name val="Arial"/>
      <family val="2"/>
    </font>
    <font>
      <i/>
      <sz val="11"/>
      <color theme="0"/>
      <name val="Arial"/>
      <family val="2"/>
    </font>
    <font>
      <sz val="11"/>
      <color rgb="FF222222"/>
      <name val="Arial"/>
      <family val="2"/>
    </font>
    <font>
      <sz val="9"/>
      <color indexed="81"/>
      <name val="Tahoma"/>
      <family val="2"/>
    </font>
    <font>
      <b/>
      <sz val="12"/>
      <color theme="1"/>
      <name val="Calibri"/>
      <family val="2"/>
      <scheme val="minor"/>
    </font>
    <font>
      <b/>
      <sz val="12"/>
      <color theme="0"/>
      <name val="Calibri"/>
      <family val="2"/>
      <scheme val="minor"/>
    </font>
    <font>
      <b/>
      <sz val="9"/>
      <color indexed="81"/>
      <name val="Tahoma"/>
      <family val="2"/>
    </font>
    <font>
      <sz val="9"/>
      <name val="Century Gothic"/>
      <family val="2"/>
    </font>
    <font>
      <sz val="10"/>
      <name val="Century Gothic"/>
      <family val="1"/>
    </font>
    <font>
      <b/>
      <sz val="12"/>
      <name val="Century Gothic"/>
      <family val="1"/>
    </font>
  </fonts>
  <fills count="31">
    <fill>
      <patternFill patternType="none"/>
    </fill>
    <fill>
      <patternFill patternType="gray125"/>
    </fill>
    <fill>
      <patternFill patternType="solid">
        <fgColor theme="2" tint="-9.9978637043366805E-2"/>
        <bgColor indexed="64"/>
      </patternFill>
    </fill>
    <fill>
      <patternFill patternType="solid">
        <fgColor theme="4" tint="-0.249977111117893"/>
        <bgColor indexed="64"/>
      </patternFill>
    </fill>
    <fill>
      <patternFill patternType="solid">
        <fgColor theme="4" tint="-0.249977111117893"/>
        <bgColor indexed="22"/>
      </patternFill>
    </fill>
    <fill>
      <patternFill patternType="solid">
        <fgColor theme="0" tint="-0.499984740745262"/>
        <bgColor indexed="22"/>
      </patternFill>
    </fill>
    <fill>
      <patternFill patternType="solid">
        <fgColor theme="0"/>
        <bgColor indexed="64"/>
      </patternFill>
    </fill>
    <fill>
      <patternFill patternType="solid">
        <fgColor theme="4" tint="0.39997558519241921"/>
        <bgColor indexed="64"/>
      </patternFill>
    </fill>
    <fill>
      <patternFill patternType="solid">
        <fgColor theme="4" tint="0.39997558519241921"/>
        <bgColor indexed="22"/>
      </patternFill>
    </fill>
    <fill>
      <patternFill patternType="solid">
        <fgColor theme="4"/>
        <bgColor indexed="22"/>
      </patternFill>
    </fill>
    <fill>
      <patternFill patternType="solid">
        <fgColor rgb="FF92D050"/>
        <bgColor indexed="64"/>
      </patternFill>
    </fill>
    <fill>
      <patternFill patternType="solid">
        <fgColor theme="1"/>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indexed="9"/>
        <bgColor indexed="64"/>
      </patternFill>
    </fill>
    <fill>
      <patternFill patternType="solid">
        <fgColor rgb="FF002060"/>
        <bgColor indexed="64"/>
      </patternFill>
    </fill>
    <fill>
      <patternFill patternType="solid">
        <fgColor theme="0" tint="-0.14999847407452621"/>
        <bgColor indexed="22"/>
      </patternFill>
    </fill>
    <fill>
      <patternFill patternType="solid">
        <fgColor rgb="FF8EA9DB"/>
        <bgColor indexed="64"/>
      </patternFill>
    </fill>
    <fill>
      <patternFill patternType="solid">
        <fgColor rgb="FFBFC4E2"/>
        <bgColor indexed="22"/>
      </patternFill>
    </fill>
    <fill>
      <patternFill patternType="solid">
        <fgColor rgb="FF305496"/>
        <bgColor indexed="22"/>
      </patternFill>
    </fill>
    <fill>
      <patternFill patternType="solid">
        <fgColor rgb="FF0070C0"/>
        <bgColor indexed="64"/>
      </patternFill>
    </fill>
    <fill>
      <patternFill patternType="solid">
        <fgColor theme="2"/>
        <bgColor indexed="64"/>
      </patternFill>
    </fill>
    <fill>
      <patternFill patternType="solid">
        <fgColor theme="0" tint="-0.3499862666707357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4"/>
        <bgColor indexed="64"/>
      </patternFill>
    </fill>
  </fills>
  <borders count="4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top/>
      <bottom/>
      <diagonal/>
    </border>
    <border>
      <left style="thin">
        <color auto="1"/>
      </left>
      <right/>
      <top/>
      <bottom style="thin">
        <color auto="1"/>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dotted">
        <color indexed="64"/>
      </top>
      <bottom style="dotted">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medium">
        <color indexed="64"/>
      </bottom>
      <diagonal/>
    </border>
  </borders>
  <cellStyleXfs count="3">
    <xf numFmtId="0" fontId="0" fillId="0" borderId="0"/>
    <xf numFmtId="0" fontId="1" fillId="10" borderId="11">
      <alignment horizontal="center"/>
    </xf>
    <xf numFmtId="0" fontId="2" fillId="0" borderId="0"/>
  </cellStyleXfs>
  <cellXfs count="265">
    <xf numFmtId="0" fontId="0" fillId="0" borderId="0" xfId="0"/>
    <xf numFmtId="0" fontId="2" fillId="0" borderId="0" xfId="2"/>
    <xf numFmtId="0" fontId="2" fillId="11" borderId="0" xfId="2" applyFill="1"/>
    <xf numFmtId="0" fontId="4" fillId="11" borderId="0" xfId="2" applyFont="1" applyFill="1"/>
    <xf numFmtId="0" fontId="4" fillId="0" borderId="0" xfId="2" applyFont="1"/>
    <xf numFmtId="0" fontId="6" fillId="13" borderId="22" xfId="2" applyFont="1" applyFill="1" applyBorder="1" applyAlignment="1">
      <alignment horizontal="center" vertical="center"/>
    </xf>
    <xf numFmtId="0" fontId="6" fillId="13" borderId="22" xfId="2" applyFont="1" applyFill="1" applyBorder="1" applyAlignment="1">
      <alignment horizontal="center" vertical="center" wrapText="1"/>
    </xf>
    <xf numFmtId="0" fontId="7" fillId="14" borderId="5" xfId="2" applyFont="1" applyFill="1" applyBorder="1" applyAlignment="1">
      <alignment horizontal="center" vertical="center"/>
    </xf>
    <xf numFmtId="0" fontId="7" fillId="14" borderId="23" xfId="2" applyFont="1" applyFill="1" applyBorder="1" applyAlignment="1">
      <alignment horizontal="center" vertical="center"/>
    </xf>
    <xf numFmtId="0" fontId="7" fillId="14" borderId="23" xfId="2" applyFont="1" applyFill="1" applyBorder="1" applyAlignment="1">
      <alignment horizontal="center" vertical="center" wrapText="1"/>
    </xf>
    <xf numFmtId="0" fontId="7" fillId="14" borderId="24" xfId="2" applyFont="1" applyFill="1" applyBorder="1" applyAlignment="1">
      <alignment horizontal="center" vertical="center"/>
    </xf>
    <xf numFmtId="0" fontId="7" fillId="14" borderId="25" xfId="2" applyFont="1" applyFill="1" applyBorder="1" applyAlignment="1">
      <alignment horizontal="center" vertical="center"/>
    </xf>
    <xf numFmtId="0" fontId="7" fillId="14" borderId="26" xfId="2" applyFont="1" applyFill="1" applyBorder="1" applyAlignment="1">
      <alignment horizontal="center" vertical="center"/>
    </xf>
    <xf numFmtId="0" fontId="7" fillId="14" borderId="27" xfId="2" applyFont="1" applyFill="1" applyBorder="1" applyAlignment="1">
      <alignment horizontal="center" vertical="center"/>
    </xf>
    <xf numFmtId="0" fontId="7" fillId="14" borderId="27" xfId="2" applyFont="1" applyFill="1" applyBorder="1" applyAlignment="1">
      <alignment horizontal="center" vertical="center" wrapText="1"/>
    </xf>
    <xf numFmtId="0" fontId="6" fillId="16" borderId="22" xfId="2" applyFont="1" applyFill="1" applyBorder="1" applyAlignment="1">
      <alignment horizontal="center" vertical="center"/>
    </xf>
    <xf numFmtId="0" fontId="7" fillId="14" borderId="30" xfId="2" applyFont="1" applyFill="1" applyBorder="1" applyAlignment="1">
      <alignment horizontal="center" vertical="center"/>
    </xf>
    <xf numFmtId="0" fontId="7" fillId="14" borderId="11" xfId="2" applyFont="1" applyFill="1" applyBorder="1" applyAlignment="1">
      <alignment horizontal="center" vertical="center"/>
    </xf>
    <xf numFmtId="0" fontId="7" fillId="14" borderId="8" xfId="2" applyFont="1" applyFill="1" applyBorder="1" applyAlignment="1">
      <alignment horizontal="center" vertical="center"/>
    </xf>
    <xf numFmtId="0" fontId="7" fillId="14" borderId="13" xfId="2" applyFont="1" applyFill="1" applyBorder="1" applyAlignment="1">
      <alignment horizontal="center" vertical="center"/>
    </xf>
    <xf numFmtId="0" fontId="5" fillId="6" borderId="31" xfId="2" applyFont="1" applyFill="1" applyBorder="1" applyAlignment="1">
      <alignment horizontal="center" vertical="center" wrapText="1"/>
    </xf>
    <xf numFmtId="0" fontId="5" fillId="6" borderId="32" xfId="2" applyFont="1" applyFill="1" applyBorder="1" applyAlignment="1">
      <alignment horizontal="center" vertical="center" wrapText="1"/>
    </xf>
    <xf numFmtId="0" fontId="5" fillId="6" borderId="33" xfId="2" applyFont="1" applyFill="1" applyBorder="1" applyAlignment="1">
      <alignment horizontal="center" vertical="center" wrapText="1"/>
    </xf>
    <xf numFmtId="0" fontId="5" fillId="6" borderId="8" xfId="2" applyFont="1" applyFill="1" applyBorder="1" applyAlignment="1">
      <alignment horizontal="center" vertical="center" wrapText="1"/>
    </xf>
    <xf numFmtId="0" fontId="12" fillId="18" borderId="0" xfId="2" applyFont="1" applyFill="1"/>
    <xf numFmtId="0" fontId="11" fillId="0" borderId="0" xfId="2" applyFont="1" applyAlignment="1">
      <alignment horizontal="center"/>
    </xf>
    <xf numFmtId="0" fontId="13" fillId="18" borderId="0" xfId="2" applyFont="1" applyFill="1"/>
    <xf numFmtId="0" fontId="14" fillId="18" borderId="0" xfId="2" applyFont="1" applyFill="1"/>
    <xf numFmtId="0" fontId="15" fillId="18" borderId="0" xfId="2" applyFont="1" applyFill="1"/>
    <xf numFmtId="0" fontId="6" fillId="18" borderId="0" xfId="2" applyFont="1" applyFill="1"/>
    <xf numFmtId="0" fontId="16" fillId="0" borderId="0" xfId="2" applyFont="1"/>
    <xf numFmtId="0" fontId="8" fillId="0" borderId="27" xfId="2" applyFont="1" applyBorder="1" applyAlignment="1">
      <alignment horizontal="center" vertical="center"/>
    </xf>
    <xf numFmtId="0" fontId="7" fillId="14" borderId="7" xfId="2" applyFont="1" applyFill="1" applyBorder="1" applyAlignment="1">
      <alignment horizontal="center" vertical="center"/>
    </xf>
    <xf numFmtId="0" fontId="5" fillId="0" borderId="0" xfId="2" applyFont="1" applyAlignment="1">
      <alignment horizontal="center" vertical="center"/>
    </xf>
    <xf numFmtId="0" fontId="2" fillId="0" borderId="0" xfId="2" applyAlignment="1">
      <alignment horizontal="center" vertical="center"/>
    </xf>
    <xf numFmtId="0" fontId="11" fillId="0" borderId="0" xfId="2" applyFont="1" applyAlignment="1">
      <alignment horizontal="center" vertical="center"/>
    </xf>
    <xf numFmtId="0" fontId="7" fillId="0" borderId="0" xfId="2" applyFont="1" applyAlignment="1">
      <alignment horizontal="center" vertical="center"/>
    </xf>
    <xf numFmtId="0" fontId="5" fillId="0" borderId="2" xfId="2" applyFont="1" applyBorder="1" applyAlignment="1">
      <alignment horizontal="center" vertical="center"/>
    </xf>
    <xf numFmtId="0" fontId="7" fillId="0" borderId="4" xfId="2" applyFont="1" applyBorder="1" applyAlignment="1">
      <alignment horizontal="center" vertical="center"/>
    </xf>
    <xf numFmtId="0" fontId="7" fillId="6" borderId="0" xfId="2" applyFont="1" applyFill="1" applyAlignment="1">
      <alignment horizontal="center" vertical="center"/>
    </xf>
    <xf numFmtId="164" fontId="20" fillId="6" borderId="8" xfId="0" applyNumberFormat="1" applyFont="1" applyFill="1" applyBorder="1" applyAlignment="1">
      <alignment horizontal="center" vertical="center" wrapText="1"/>
    </xf>
    <xf numFmtId="0" fontId="17" fillId="0" borderId="0" xfId="0" applyFont="1"/>
    <xf numFmtId="0" fontId="17" fillId="0" borderId="0" xfId="0" applyFont="1" applyAlignment="1">
      <alignment wrapText="1"/>
    </xf>
    <xf numFmtId="0" fontId="17" fillId="6" borderId="0" xfId="0" applyFont="1" applyFill="1" applyAlignment="1">
      <alignment wrapText="1"/>
    </xf>
    <xf numFmtId="0" fontId="17" fillId="0" borderId="0" xfId="0" applyFont="1" applyAlignment="1">
      <alignment horizontal="center" wrapText="1"/>
    </xf>
    <xf numFmtId="0" fontId="21" fillId="0" borderId="2" xfId="0" applyFont="1" applyBorder="1" applyAlignment="1">
      <alignment horizontal="left"/>
    </xf>
    <xf numFmtId="0" fontId="22" fillId="0" borderId="0" xfId="0" applyFont="1" applyAlignment="1">
      <alignment wrapText="1"/>
    </xf>
    <xf numFmtId="0" fontId="21" fillId="4" borderId="8" xfId="0" applyFont="1" applyFill="1" applyBorder="1" applyAlignment="1">
      <alignment horizontal="center" vertical="center" wrapText="1"/>
    </xf>
    <xf numFmtId="0" fontId="22" fillId="7" borderId="0" xfId="0" applyFont="1" applyFill="1" applyAlignment="1">
      <alignment wrapText="1"/>
    </xf>
    <xf numFmtId="0" fontId="21" fillId="9" borderId="14" xfId="0" applyFont="1" applyFill="1" applyBorder="1" applyAlignment="1">
      <alignment horizontal="center" vertical="center" wrapText="1"/>
    </xf>
    <xf numFmtId="0" fontId="21" fillId="8" borderId="0" xfId="0" applyFont="1" applyFill="1" applyAlignment="1">
      <alignment horizontal="center" vertical="center" wrapText="1"/>
    </xf>
    <xf numFmtId="0" fontId="21" fillId="3" borderId="0" xfId="0" applyFont="1" applyFill="1" applyAlignment="1">
      <alignment vertical="center" wrapText="1"/>
    </xf>
    <xf numFmtId="0" fontId="25" fillId="4" borderId="9" xfId="0" applyFont="1" applyFill="1" applyBorder="1" applyAlignment="1">
      <alignment horizontal="center" vertical="center" wrapText="1"/>
    </xf>
    <xf numFmtId="0" fontId="21" fillId="3" borderId="0" xfId="0" applyFont="1" applyFill="1" applyAlignment="1">
      <alignment horizontal="left" vertical="center" wrapText="1" indent="1"/>
    </xf>
    <xf numFmtId="0" fontId="25" fillId="4" borderId="10" xfId="0" applyFont="1" applyFill="1" applyBorder="1" applyAlignment="1">
      <alignment horizontal="center" vertical="center" wrapText="1"/>
    </xf>
    <xf numFmtId="0" fontId="25" fillId="4" borderId="17" xfId="0" applyFont="1" applyFill="1" applyBorder="1" applyAlignment="1">
      <alignment horizontal="center" vertical="center" wrapText="1"/>
    </xf>
    <xf numFmtId="0" fontId="23" fillId="21" borderId="15" xfId="0" applyFont="1" applyFill="1" applyBorder="1" applyAlignment="1">
      <alignment horizontal="left" vertical="center" wrapText="1"/>
    </xf>
    <xf numFmtId="0" fontId="23" fillId="21" borderId="0" xfId="0" applyFont="1" applyFill="1" applyAlignment="1">
      <alignment horizontal="left" vertical="center" wrapText="1"/>
    </xf>
    <xf numFmtId="0" fontId="17" fillId="6" borderId="0" xfId="0" applyFont="1" applyFill="1" applyAlignment="1">
      <alignment vertical="center" wrapText="1"/>
    </xf>
    <xf numFmtId="0" fontId="20" fillId="6" borderId="8" xfId="0" applyFont="1" applyFill="1" applyBorder="1" applyAlignment="1">
      <alignment horizontal="center" vertical="center" wrapText="1"/>
    </xf>
    <xf numFmtId="9" fontId="18" fillId="6" borderId="21" xfId="0" applyNumberFormat="1" applyFont="1" applyFill="1" applyBorder="1" applyAlignment="1" applyProtection="1">
      <alignment horizontal="center" vertical="center" wrapText="1"/>
      <protection locked="0"/>
    </xf>
    <xf numFmtId="0" fontId="20" fillId="6" borderId="8" xfId="0" applyFont="1" applyFill="1" applyBorder="1" applyAlignment="1">
      <alignment vertical="center" wrapText="1"/>
    </xf>
    <xf numFmtId="0" fontId="17" fillId="0" borderId="8" xfId="0" applyFont="1" applyBorder="1" applyAlignment="1">
      <alignment vertical="center" wrapText="1"/>
    </xf>
    <xf numFmtId="9" fontId="19" fillId="6" borderId="21" xfId="0" applyNumberFormat="1" applyFont="1" applyFill="1" applyBorder="1" applyAlignment="1" applyProtection="1">
      <alignment horizontal="center" vertical="center" wrapText="1"/>
      <protection locked="0"/>
    </xf>
    <xf numFmtId="0" fontId="17" fillId="0" borderId="8" xfId="0" applyFont="1" applyBorder="1" applyAlignment="1">
      <alignment wrapText="1"/>
    </xf>
    <xf numFmtId="0" fontId="17" fillId="0" borderId="8" xfId="0" applyFont="1" applyBorder="1" applyAlignment="1">
      <alignment horizontal="center" vertical="center" wrapText="1"/>
    </xf>
    <xf numFmtId="0" fontId="17" fillId="0" borderId="8" xfId="0" applyFont="1" applyBorder="1" applyAlignment="1">
      <alignment horizontal="center" vertical="center"/>
    </xf>
    <xf numFmtId="164" fontId="17" fillId="0" borderId="8" xfId="0" applyNumberFormat="1" applyFont="1" applyBorder="1" applyAlignment="1">
      <alignment horizontal="center" vertical="center" wrapText="1"/>
    </xf>
    <xf numFmtId="2" fontId="19" fillId="0" borderId="8" xfId="0" applyNumberFormat="1" applyFont="1" applyBorder="1" applyAlignment="1" applyProtection="1">
      <alignment horizontal="center" vertical="center" wrapText="1"/>
      <protection locked="0"/>
    </xf>
    <xf numFmtId="0" fontId="20" fillId="0" borderId="8" xfId="0" applyFont="1" applyBorder="1" applyAlignment="1">
      <alignment wrapText="1"/>
    </xf>
    <xf numFmtId="0" fontId="20" fillId="0" borderId="8" xfId="0" applyFont="1" applyBorder="1" applyAlignment="1">
      <alignment horizontal="center" vertical="center" wrapText="1"/>
    </xf>
    <xf numFmtId="164" fontId="20" fillId="0" borderId="8" xfId="0" applyNumberFormat="1" applyFont="1" applyBorder="1" applyAlignment="1">
      <alignment horizontal="center" vertical="center" wrapText="1"/>
    </xf>
    <xf numFmtId="0" fontId="20" fillId="0" borderId="8" xfId="0" applyFont="1" applyBorder="1" applyAlignment="1">
      <alignment horizontal="center" vertical="center"/>
    </xf>
    <xf numFmtId="2" fontId="18" fillId="0" borderId="8" xfId="0" applyNumberFormat="1" applyFont="1" applyBorder="1" applyAlignment="1" applyProtection="1">
      <alignment horizontal="center" vertical="center" wrapText="1"/>
      <protection locked="0"/>
    </xf>
    <xf numFmtId="9" fontId="18" fillId="2" borderId="21" xfId="0" applyNumberFormat="1" applyFont="1" applyFill="1" applyBorder="1" applyAlignment="1" applyProtection="1">
      <alignment horizontal="center" vertical="center" wrapText="1"/>
      <protection locked="0"/>
    </xf>
    <xf numFmtId="0" fontId="20" fillId="0" borderId="0" xfId="0" applyFont="1" applyAlignment="1">
      <alignment wrapText="1"/>
    </xf>
    <xf numFmtId="0" fontId="20" fillId="0" borderId="8" xfId="0" applyFont="1" applyBorder="1" applyAlignment="1">
      <alignment horizontal="left" vertical="center" wrapText="1"/>
    </xf>
    <xf numFmtId="0" fontId="17" fillId="0" borderId="8" xfId="0" applyFont="1" applyBorder="1" applyAlignment="1">
      <alignment horizontal="left" vertical="top" wrapText="1"/>
    </xf>
    <xf numFmtId="0" fontId="26" fillId="0" borderId="8" xfId="0" applyFont="1" applyBorder="1"/>
    <xf numFmtId="0" fontId="19" fillId="14" borderId="8" xfId="0" applyFont="1" applyFill="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wrapText="1"/>
    </xf>
    <xf numFmtId="0" fontId="19" fillId="20" borderId="8" xfId="0" applyFont="1" applyFill="1" applyBorder="1" applyAlignment="1">
      <alignment horizontal="center" vertical="center" wrapText="1"/>
    </xf>
    <xf numFmtId="0" fontId="21" fillId="9" borderId="12" xfId="0" applyFont="1" applyFill="1" applyBorder="1" applyAlignment="1">
      <alignment horizontal="center" vertical="center" wrapText="1"/>
    </xf>
    <xf numFmtId="0" fontId="21" fillId="9" borderId="8"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19" fillId="14" borderId="8"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19" fillId="20" borderId="13" xfId="0" applyFont="1" applyFill="1" applyBorder="1" applyAlignment="1">
      <alignment vertical="center" wrapText="1"/>
    </xf>
    <xf numFmtId="0" fontId="19" fillId="20" borderId="39" xfId="0" applyFont="1" applyFill="1" applyBorder="1" applyAlignment="1">
      <alignment vertical="center" wrapText="1"/>
    </xf>
    <xf numFmtId="0" fontId="19" fillId="20" borderId="29" xfId="0" applyFont="1" applyFill="1" applyBorder="1" applyAlignment="1">
      <alignment vertical="center" wrapText="1"/>
    </xf>
    <xf numFmtId="0" fontId="19" fillId="20" borderId="8" xfId="0" applyFont="1" applyFill="1" applyBorder="1" applyAlignment="1">
      <alignment vertical="center" wrapText="1"/>
    </xf>
    <xf numFmtId="0" fontId="19" fillId="14" borderId="8" xfId="0" applyFont="1" applyFill="1" applyBorder="1" applyAlignment="1">
      <alignment vertical="center" wrapText="1"/>
    </xf>
    <xf numFmtId="0" fontId="19" fillId="14" borderId="11" xfId="0" applyFont="1" applyFill="1" applyBorder="1" applyAlignment="1">
      <alignment vertical="center" wrapText="1"/>
    </xf>
    <xf numFmtId="0" fontId="19" fillId="14" borderId="14" xfId="0" applyFont="1" applyFill="1" applyBorder="1" applyAlignment="1">
      <alignment horizontal="center" vertical="center"/>
    </xf>
    <xf numFmtId="0" fontId="19" fillId="14" borderId="9" xfId="0" applyFont="1" applyFill="1" applyBorder="1" applyAlignment="1">
      <alignment horizontal="center" vertical="center"/>
    </xf>
    <xf numFmtId="0" fontId="19" fillId="20" borderId="14" xfId="0" applyFont="1" applyFill="1" applyBorder="1" applyAlignment="1">
      <alignment horizontal="center" vertical="center" wrapText="1"/>
    </xf>
    <xf numFmtId="0" fontId="19" fillId="20" borderId="9" xfId="0" applyFont="1" applyFill="1" applyBorder="1" applyAlignment="1">
      <alignment horizontal="center" vertical="center" wrapText="1"/>
    </xf>
    <xf numFmtId="0" fontId="19" fillId="20" borderId="13" xfId="0" applyFont="1" applyFill="1" applyBorder="1" applyAlignment="1">
      <alignment horizontal="center" vertical="center" wrapText="1"/>
    </xf>
    <xf numFmtId="0" fontId="21" fillId="9" borderId="38"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19" fillId="20" borderId="11" xfId="0" applyFont="1" applyFill="1" applyBorder="1" applyAlignment="1">
      <alignment vertical="center" wrapText="1"/>
    </xf>
    <xf numFmtId="0" fontId="21" fillId="5" borderId="12" xfId="0" applyFont="1" applyFill="1" applyBorder="1" applyAlignment="1">
      <alignment vertical="center" wrapText="1"/>
    </xf>
    <xf numFmtId="0" fontId="21" fillId="4" borderId="38" xfId="0" applyFont="1" applyFill="1" applyBorder="1" applyAlignment="1">
      <alignment horizontal="center" vertical="center" wrapText="1"/>
    </xf>
    <xf numFmtId="0" fontId="19" fillId="22" borderId="14" xfId="0" applyFont="1" applyFill="1" applyBorder="1" applyAlignment="1">
      <alignment horizontal="center" vertical="center" wrapText="1"/>
    </xf>
    <xf numFmtId="0" fontId="19" fillId="22" borderId="9" xfId="0" applyFont="1" applyFill="1" applyBorder="1" applyAlignment="1">
      <alignment horizontal="center" vertical="center" wrapText="1"/>
    </xf>
    <xf numFmtId="0" fontId="21" fillId="23" borderId="14" xfId="0" applyFont="1" applyFill="1" applyBorder="1" applyAlignment="1">
      <alignment horizontal="center" vertical="center" wrapText="1"/>
    </xf>
    <xf numFmtId="0" fontId="0" fillId="6" borderId="0" xfId="0" applyFill="1"/>
    <xf numFmtId="0" fontId="24" fillId="14" borderId="14" xfId="0" applyFont="1" applyFill="1" applyBorder="1" applyAlignment="1">
      <alignment horizontal="left" vertical="center" wrapText="1"/>
    </xf>
    <xf numFmtId="0" fontId="24" fillId="14" borderId="13" xfId="0" applyFont="1" applyFill="1" applyBorder="1" applyAlignment="1">
      <alignment horizontal="left" vertical="center" wrapText="1"/>
    </xf>
    <xf numFmtId="0" fontId="24" fillId="20" borderId="14" xfId="0" applyFont="1" applyFill="1" applyBorder="1" applyAlignment="1">
      <alignment horizontal="left" vertical="center" wrapText="1"/>
    </xf>
    <xf numFmtId="0" fontId="24" fillId="20" borderId="13" xfId="0" applyFont="1" applyFill="1" applyBorder="1" applyAlignment="1">
      <alignment horizontal="left" vertical="center" wrapText="1"/>
    </xf>
    <xf numFmtId="0" fontId="25" fillId="9" borderId="38" xfId="0" applyFont="1" applyFill="1" applyBorder="1" applyAlignment="1">
      <alignment horizontal="left" vertical="center" wrapText="1"/>
    </xf>
    <xf numFmtId="0" fontId="25" fillId="9" borderId="9" xfId="0" applyFont="1" applyFill="1" applyBorder="1" applyAlignment="1">
      <alignment horizontal="left" vertical="center" wrapText="1"/>
    </xf>
    <xf numFmtId="0" fontId="25" fillId="9" borderId="14" xfId="0" applyFont="1" applyFill="1" applyBorder="1" applyAlignment="1">
      <alignment horizontal="left" vertical="center" wrapText="1"/>
    </xf>
    <xf numFmtId="0" fontId="25" fillId="9" borderId="13" xfId="0" applyFont="1" applyFill="1" applyBorder="1" applyAlignment="1">
      <alignment horizontal="left" vertical="center" wrapText="1"/>
    </xf>
    <xf numFmtId="0" fontId="25" fillId="4" borderId="14" xfId="0" applyFont="1" applyFill="1" applyBorder="1" applyAlignment="1">
      <alignment horizontal="left" vertical="center" wrapText="1"/>
    </xf>
    <xf numFmtId="0" fontId="25" fillId="4" borderId="9" xfId="0" applyFont="1" applyFill="1" applyBorder="1" applyAlignment="1">
      <alignment horizontal="left" vertical="center" wrapText="1"/>
    </xf>
    <xf numFmtId="0" fontId="25" fillId="4" borderId="13" xfId="0" applyFont="1" applyFill="1" applyBorder="1" applyAlignment="1">
      <alignment horizontal="left" vertical="center" wrapText="1"/>
    </xf>
    <xf numFmtId="0" fontId="24" fillId="22" borderId="14" xfId="0" applyFont="1" applyFill="1" applyBorder="1" applyAlignment="1">
      <alignment horizontal="left" vertical="center" wrapText="1"/>
    </xf>
    <xf numFmtId="0" fontId="24" fillId="22" borderId="13" xfId="0" applyFont="1" applyFill="1" applyBorder="1" applyAlignment="1">
      <alignment horizontal="left" vertical="center" wrapText="1"/>
    </xf>
    <xf numFmtId="0" fontId="21" fillId="3" borderId="0" xfId="0" applyFont="1" applyFill="1" applyAlignment="1">
      <alignment horizontal="left" vertical="center" wrapText="1"/>
    </xf>
    <xf numFmtId="0" fontId="24" fillId="14" borderId="15" xfId="0" applyFont="1" applyFill="1" applyBorder="1" applyAlignment="1">
      <alignment horizontal="left" vertical="center" wrapText="1"/>
    </xf>
    <xf numFmtId="0" fontId="24" fillId="14" borderId="39" xfId="0" applyFont="1" applyFill="1" applyBorder="1" applyAlignment="1">
      <alignment horizontal="left" vertical="center" wrapText="1"/>
    </xf>
    <xf numFmtId="0" fontId="24" fillId="20" borderId="15" xfId="0" applyFont="1" applyFill="1" applyBorder="1" applyAlignment="1">
      <alignment horizontal="left" vertical="center" wrapText="1"/>
    </xf>
    <xf numFmtId="0" fontId="24" fillId="20" borderId="39" xfId="0" applyFont="1" applyFill="1" applyBorder="1" applyAlignment="1">
      <alignment horizontal="left" vertical="center" wrapText="1"/>
    </xf>
    <xf numFmtId="0" fontId="25" fillId="9" borderId="0" xfId="0" applyFont="1" applyFill="1" applyAlignment="1">
      <alignment horizontal="left" vertical="center" wrapText="1"/>
    </xf>
    <xf numFmtId="0" fontId="25" fillId="9" borderId="10" xfId="0" applyFont="1" applyFill="1" applyBorder="1" applyAlignment="1">
      <alignment horizontal="left" vertical="center" wrapText="1"/>
    </xf>
    <xf numFmtId="0" fontId="25" fillId="9" borderId="15" xfId="0" applyFont="1" applyFill="1" applyBorder="1" applyAlignment="1">
      <alignment horizontal="left" vertical="center" wrapText="1"/>
    </xf>
    <xf numFmtId="0" fontId="25" fillId="9" borderId="39" xfId="0" applyFont="1" applyFill="1" applyBorder="1" applyAlignment="1">
      <alignment horizontal="left" vertical="center" wrapText="1"/>
    </xf>
    <xf numFmtId="0" fontId="25" fillId="4" borderId="15" xfId="0" applyFont="1" applyFill="1" applyBorder="1" applyAlignment="1">
      <alignment horizontal="left" vertical="center" wrapText="1"/>
    </xf>
    <xf numFmtId="0" fontId="25" fillId="4" borderId="10" xfId="0" applyFont="1" applyFill="1" applyBorder="1" applyAlignment="1">
      <alignment horizontal="left" vertical="center" wrapText="1"/>
    </xf>
    <xf numFmtId="0" fontId="25" fillId="4" borderId="39" xfId="0" applyFont="1" applyFill="1" applyBorder="1" applyAlignment="1">
      <alignment horizontal="left" vertical="center" wrapText="1"/>
    </xf>
    <xf numFmtId="0" fontId="24" fillId="22" borderId="15" xfId="0" applyFont="1" applyFill="1" applyBorder="1" applyAlignment="1">
      <alignment horizontal="left" vertical="center" wrapText="1"/>
    </xf>
    <xf numFmtId="0" fontId="24" fillId="22" borderId="39" xfId="0" applyFont="1" applyFill="1" applyBorder="1" applyAlignment="1">
      <alignment horizontal="left" vertical="center" wrapText="1"/>
    </xf>
    <xf numFmtId="0" fontId="24" fillId="14" borderId="16" xfId="0" applyFont="1" applyFill="1" applyBorder="1" applyAlignment="1">
      <alignment horizontal="left" vertical="center" wrapText="1"/>
    </xf>
    <xf numFmtId="0" fontId="24" fillId="14" borderId="29" xfId="0" applyFont="1" applyFill="1" applyBorder="1" applyAlignment="1">
      <alignment horizontal="left" vertical="center" wrapText="1"/>
    </xf>
    <xf numFmtId="0" fontId="24" fillId="20" borderId="16" xfId="0" applyFont="1" applyFill="1" applyBorder="1" applyAlignment="1">
      <alignment horizontal="left" vertical="center" wrapText="1"/>
    </xf>
    <xf numFmtId="0" fontId="24" fillId="20" borderId="29" xfId="0" applyFont="1" applyFill="1" applyBorder="1" applyAlignment="1">
      <alignment horizontal="left" vertical="center" wrapText="1"/>
    </xf>
    <xf numFmtId="0" fontId="25" fillId="9" borderId="40" xfId="0" applyFont="1" applyFill="1" applyBorder="1" applyAlignment="1">
      <alignment horizontal="left" vertical="center" wrapText="1"/>
    </xf>
    <xf numFmtId="0" fontId="25" fillId="9" borderId="17" xfId="0" applyFont="1" applyFill="1" applyBorder="1" applyAlignment="1">
      <alignment horizontal="left" vertical="center" wrapText="1"/>
    </xf>
    <xf numFmtId="0" fontId="25" fillId="9" borderId="16" xfId="0" applyFont="1" applyFill="1" applyBorder="1" applyAlignment="1">
      <alignment horizontal="left" vertical="center" wrapText="1"/>
    </xf>
    <xf numFmtId="0" fontId="25" fillId="9" borderId="29" xfId="0" applyFont="1" applyFill="1" applyBorder="1" applyAlignment="1">
      <alignment horizontal="left" vertical="center" wrapText="1"/>
    </xf>
    <xf numFmtId="0" fontId="25" fillId="4" borderId="16" xfId="0" applyFont="1" applyFill="1" applyBorder="1" applyAlignment="1">
      <alignment horizontal="left" vertical="center" wrapText="1"/>
    </xf>
    <xf numFmtId="0" fontId="25" fillId="4" borderId="17" xfId="0" applyFont="1" applyFill="1" applyBorder="1" applyAlignment="1">
      <alignment horizontal="left" vertical="center" wrapText="1"/>
    </xf>
    <xf numFmtId="0" fontId="25" fillId="4" borderId="29" xfId="0" applyFont="1" applyFill="1" applyBorder="1" applyAlignment="1">
      <alignment horizontal="left" vertical="center" wrapText="1"/>
    </xf>
    <xf numFmtId="0" fontId="24" fillId="22" borderId="16" xfId="0" applyFont="1" applyFill="1" applyBorder="1" applyAlignment="1">
      <alignment horizontal="left" vertical="center" wrapText="1"/>
    </xf>
    <xf numFmtId="0" fontId="24" fillId="22" borderId="29" xfId="0" applyFont="1" applyFill="1" applyBorder="1" applyAlignment="1">
      <alignment horizontal="left" vertical="center" wrapText="1"/>
    </xf>
    <xf numFmtId="0" fontId="18" fillId="0" borderId="0" xfId="0" applyFont="1" applyAlignment="1">
      <alignment vertical="center" wrapText="1"/>
    </xf>
    <xf numFmtId="0" fontId="19" fillId="14" borderId="11" xfId="0" applyFont="1" applyFill="1" applyBorder="1" applyAlignment="1">
      <alignment vertical="center"/>
    </xf>
    <xf numFmtId="0" fontId="21" fillId="19" borderId="37" xfId="0" applyFont="1" applyFill="1" applyBorder="1" applyAlignment="1">
      <alignment vertical="center"/>
    </xf>
    <xf numFmtId="0" fontId="19" fillId="14" borderId="15" xfId="0" applyFont="1" applyFill="1" applyBorder="1" applyAlignment="1">
      <alignment vertical="center"/>
    </xf>
    <xf numFmtId="0" fontId="19" fillId="14" borderId="14" xfId="0" applyFont="1" applyFill="1" applyBorder="1" applyAlignment="1">
      <alignment vertical="center"/>
    </xf>
    <xf numFmtId="0" fontId="19" fillId="19" borderId="8" xfId="0" applyFont="1" applyFill="1" applyBorder="1" applyAlignment="1">
      <alignment vertical="center"/>
    </xf>
    <xf numFmtId="165" fontId="19" fillId="14" borderId="8" xfId="0" applyNumberFormat="1" applyFont="1" applyFill="1" applyBorder="1" applyAlignment="1">
      <alignment vertical="center"/>
    </xf>
    <xf numFmtId="2" fontId="21" fillId="23" borderId="8" xfId="0" applyNumberFormat="1" applyFont="1" applyFill="1" applyBorder="1" applyAlignment="1">
      <alignment horizontal="center" vertical="center" wrapText="1"/>
    </xf>
    <xf numFmtId="2" fontId="21" fillId="23" borderId="8" xfId="0" applyNumberFormat="1" applyFont="1" applyFill="1" applyBorder="1" applyAlignment="1">
      <alignment vertical="center" wrapText="1"/>
    </xf>
    <xf numFmtId="2" fontId="23" fillId="21" borderId="0" xfId="0" applyNumberFormat="1" applyFont="1" applyFill="1" applyAlignment="1">
      <alignment horizontal="left" vertical="center" wrapText="1"/>
    </xf>
    <xf numFmtId="2" fontId="23" fillId="21" borderId="10" xfId="0" applyNumberFormat="1" applyFont="1" applyFill="1" applyBorder="1" applyAlignment="1">
      <alignment horizontal="left" vertical="center" wrapText="1"/>
    </xf>
    <xf numFmtId="2" fontId="20" fillId="6" borderId="8" xfId="0" applyNumberFormat="1" applyFont="1" applyFill="1" applyBorder="1" applyAlignment="1">
      <alignment horizontal="center" vertical="center" wrapText="1"/>
    </xf>
    <xf numFmtId="2" fontId="17" fillId="0" borderId="8" xfId="0" applyNumberFormat="1" applyFont="1" applyBorder="1" applyAlignment="1">
      <alignment horizontal="center"/>
    </xf>
    <xf numFmtId="2" fontId="20" fillId="0" borderId="8" xfId="0" applyNumberFormat="1" applyFont="1" applyBorder="1" applyAlignment="1">
      <alignment horizontal="center"/>
    </xf>
    <xf numFmtId="2" fontId="17" fillId="0" borderId="0" xfId="0" applyNumberFormat="1" applyFont="1" applyAlignment="1">
      <alignment wrapText="1"/>
    </xf>
    <xf numFmtId="0" fontId="21" fillId="5" borderId="9" xfId="0" applyFont="1" applyFill="1" applyBorder="1" applyAlignment="1">
      <alignment vertical="center" wrapText="1"/>
    </xf>
    <xf numFmtId="164" fontId="21" fillId="4" borderId="11" xfId="0" applyNumberFormat="1" applyFont="1" applyFill="1" applyBorder="1" applyAlignment="1">
      <alignment horizontal="center" vertical="center" wrapText="1"/>
    </xf>
    <xf numFmtId="164" fontId="21" fillId="5" borderId="8" xfId="0" applyNumberFormat="1" applyFont="1" applyFill="1" applyBorder="1" applyAlignment="1">
      <alignment horizontal="center" vertical="center" wrapText="1"/>
    </xf>
    <xf numFmtId="164" fontId="21" fillId="5" borderId="38" xfId="0" applyNumberFormat="1" applyFont="1" applyFill="1" applyBorder="1" applyAlignment="1">
      <alignment vertical="center" wrapText="1"/>
    </xf>
    <xf numFmtId="164" fontId="21" fillId="5" borderId="0" xfId="0" applyNumberFormat="1" applyFont="1" applyFill="1" applyAlignment="1">
      <alignment vertical="center" wrapText="1"/>
    </xf>
    <xf numFmtId="164" fontId="21" fillId="5" borderId="40" xfId="0" applyNumberFormat="1" applyFont="1" applyFill="1" applyBorder="1" applyAlignment="1">
      <alignment vertical="center" wrapText="1"/>
    </xf>
    <xf numFmtId="164" fontId="23" fillId="21" borderId="0" xfId="0" applyNumberFormat="1" applyFont="1" applyFill="1" applyAlignment="1">
      <alignment horizontal="left" vertical="center" wrapText="1"/>
    </xf>
    <xf numFmtId="164" fontId="17" fillId="0" borderId="0" xfId="0" applyNumberFormat="1" applyFont="1" applyAlignment="1">
      <alignment wrapText="1"/>
    </xf>
    <xf numFmtId="0" fontId="28" fillId="25" borderId="8" xfId="0" applyFont="1" applyFill="1" applyBorder="1"/>
    <xf numFmtId="0" fontId="0" fillId="0" borderId="8" xfId="0" applyBorder="1" applyAlignment="1">
      <alignment wrapText="1"/>
    </xf>
    <xf numFmtId="0" fontId="6" fillId="17" borderId="26" xfId="2" applyFont="1" applyFill="1" applyBorder="1" applyAlignment="1">
      <alignment horizontal="center" vertical="center"/>
    </xf>
    <xf numFmtId="0" fontId="6" fillId="17" borderId="5" xfId="2" applyFont="1" applyFill="1" applyBorder="1" applyAlignment="1">
      <alignment horizontal="center" vertical="center"/>
    </xf>
    <xf numFmtId="0" fontId="7" fillId="14" borderId="29" xfId="2" applyFont="1" applyFill="1" applyBorder="1" applyAlignment="1">
      <alignment horizontal="center" vertical="center"/>
    </xf>
    <xf numFmtId="0" fontId="7" fillId="14" borderId="28" xfId="2" applyFont="1" applyFill="1" applyBorder="1" applyAlignment="1">
      <alignment horizontal="center" vertical="center"/>
    </xf>
    <xf numFmtId="0" fontId="6" fillId="14" borderId="13" xfId="2" applyFont="1" applyFill="1" applyBorder="1" applyAlignment="1">
      <alignment horizontal="center" vertical="center"/>
    </xf>
    <xf numFmtId="0" fontId="7" fillId="14" borderId="41" xfId="2" applyFont="1" applyFill="1" applyBorder="1" applyAlignment="1">
      <alignment horizontal="center" vertical="center"/>
    </xf>
    <xf numFmtId="0" fontId="7" fillId="14" borderId="42" xfId="2" applyFont="1" applyFill="1" applyBorder="1" applyAlignment="1">
      <alignment horizontal="center" vertical="center"/>
    </xf>
    <xf numFmtId="0" fontId="5" fillId="0" borderId="35" xfId="2" applyFont="1" applyBorder="1" applyAlignment="1">
      <alignment horizontal="center" vertical="center" wrapText="1"/>
    </xf>
    <xf numFmtId="0" fontId="7" fillId="14" borderId="41" xfId="2" applyFont="1" applyFill="1" applyBorder="1" applyAlignment="1">
      <alignment horizontal="center" vertical="center" wrapText="1"/>
    </xf>
    <xf numFmtId="0" fontId="9" fillId="14" borderId="29" xfId="2" applyFont="1" applyFill="1" applyBorder="1" applyAlignment="1">
      <alignment horizontal="center" vertical="center" wrapText="1"/>
    </xf>
    <xf numFmtId="0" fontId="7" fillId="14" borderId="43" xfId="2" applyFont="1" applyFill="1" applyBorder="1" applyAlignment="1">
      <alignment horizontal="center" vertical="center"/>
    </xf>
    <xf numFmtId="0" fontId="5" fillId="0" borderId="33" xfId="2" applyFont="1" applyBorder="1" applyAlignment="1">
      <alignment horizontal="center" vertical="center"/>
    </xf>
    <xf numFmtId="0" fontId="5" fillId="6" borderId="30" xfId="2" applyFont="1" applyFill="1" applyBorder="1" applyAlignment="1">
      <alignment horizontal="center" vertical="center" wrapText="1"/>
    </xf>
    <xf numFmtId="0" fontId="9" fillId="14" borderId="41" xfId="2" applyFont="1" applyFill="1" applyBorder="1" applyAlignment="1">
      <alignment horizontal="center" vertical="center" wrapText="1"/>
    </xf>
    <xf numFmtId="0" fontId="5" fillId="6" borderId="6" xfId="2" applyFont="1" applyFill="1" applyBorder="1" applyAlignment="1">
      <alignment horizontal="center" vertical="center" wrapText="1"/>
    </xf>
    <xf numFmtId="0" fontId="31" fillId="0" borderId="33" xfId="2" applyFont="1" applyBorder="1" applyAlignment="1">
      <alignment horizontal="center" vertical="center" wrapText="1"/>
    </xf>
    <xf numFmtId="0" fontId="5" fillId="0" borderId="6" xfId="2" applyFont="1" applyBorder="1" applyAlignment="1">
      <alignment horizontal="center" vertical="center"/>
    </xf>
    <xf numFmtId="0" fontId="5" fillId="0" borderId="44" xfId="2" applyFont="1" applyBorder="1" applyAlignment="1">
      <alignment horizontal="center" vertical="center"/>
    </xf>
    <xf numFmtId="0" fontId="29" fillId="24" borderId="8" xfId="0" applyFont="1" applyFill="1" applyBorder="1"/>
    <xf numFmtId="0" fontId="28" fillId="26" borderId="8" xfId="0" applyFont="1" applyFill="1" applyBorder="1"/>
    <xf numFmtId="0" fontId="0" fillId="0" borderId="8" xfId="0" applyBorder="1" applyAlignment="1">
      <alignment vertical="top" wrapText="1"/>
    </xf>
    <xf numFmtId="0" fontId="0" fillId="0" borderId="0" xfId="0" applyAlignment="1">
      <alignment vertical="top"/>
    </xf>
    <xf numFmtId="0" fontId="5" fillId="0" borderId="8" xfId="2" applyFont="1" applyBorder="1" applyAlignment="1">
      <alignment horizontal="center" vertical="center" wrapText="1"/>
    </xf>
    <xf numFmtId="0" fontId="5" fillId="12" borderId="8" xfId="2" applyFont="1" applyFill="1" applyBorder="1" applyAlignment="1">
      <alignment horizontal="center" vertical="center" wrapText="1"/>
    </xf>
    <xf numFmtId="0" fontId="5" fillId="6" borderId="29" xfId="2" applyFont="1" applyFill="1" applyBorder="1" applyAlignment="1">
      <alignment horizontal="center" vertical="center" wrapText="1"/>
    </xf>
    <xf numFmtId="0" fontId="5" fillId="6" borderId="28" xfId="2" applyFont="1" applyFill="1" applyBorder="1" applyAlignment="1">
      <alignment horizontal="center" vertical="center" wrapText="1"/>
    </xf>
    <xf numFmtId="0" fontId="32" fillId="12" borderId="8" xfId="2" applyFont="1" applyFill="1" applyBorder="1" applyAlignment="1">
      <alignment horizontal="center" vertical="center" wrapText="1"/>
    </xf>
    <xf numFmtId="0" fontId="6" fillId="13" borderId="8" xfId="2" applyFont="1" applyFill="1" applyBorder="1" applyAlignment="1">
      <alignment horizontal="center" vertical="center" wrapText="1"/>
    </xf>
    <xf numFmtId="0" fontId="33" fillId="13" borderId="8" xfId="2" applyFont="1" applyFill="1" applyBorder="1" applyAlignment="1">
      <alignment horizontal="center" vertical="center" wrapText="1"/>
    </xf>
    <xf numFmtId="0" fontId="0" fillId="27" borderId="8" xfId="0" applyFill="1" applyBorder="1"/>
    <xf numFmtId="0" fontId="0" fillId="2" borderId="8" xfId="0" applyFill="1" applyBorder="1"/>
    <xf numFmtId="0" fontId="0" fillId="28" borderId="8" xfId="0" applyFill="1" applyBorder="1"/>
    <xf numFmtId="0" fontId="0" fillId="29" borderId="8" xfId="0" applyFill="1" applyBorder="1"/>
    <xf numFmtId="0" fontId="0" fillId="6" borderId="15" xfId="0" applyFill="1" applyBorder="1"/>
    <xf numFmtId="0" fontId="0" fillId="6" borderId="10" xfId="0" applyFill="1" applyBorder="1"/>
    <xf numFmtId="0" fontId="0" fillId="6" borderId="16" xfId="0" applyFill="1" applyBorder="1"/>
    <xf numFmtId="0" fontId="0" fillId="6" borderId="40" xfId="0" applyFill="1" applyBorder="1"/>
    <xf numFmtId="0" fontId="0" fillId="6" borderId="17" xfId="0" applyFill="1" applyBorder="1"/>
    <xf numFmtId="0" fontId="25" fillId="4" borderId="38" xfId="0" applyFont="1" applyFill="1" applyBorder="1" applyAlignment="1">
      <alignment horizontal="left" vertical="center" wrapText="1"/>
    </xf>
    <xf numFmtId="0" fontId="25" fillId="4" borderId="0" xfId="0" applyFont="1" applyFill="1" applyAlignment="1">
      <alignment horizontal="left" vertical="center" wrapText="1"/>
    </xf>
    <xf numFmtId="0" fontId="25" fillId="4" borderId="40" xfId="0" applyFont="1" applyFill="1" applyBorder="1" applyAlignment="1">
      <alignment horizontal="left" vertical="center" wrapText="1"/>
    </xf>
    <xf numFmtId="0" fontId="21" fillId="19" borderId="7" xfId="0" applyFont="1" applyFill="1" applyBorder="1" applyAlignment="1">
      <alignment horizontal="left" vertical="center"/>
    </xf>
    <xf numFmtId="0" fontId="19" fillId="22" borderId="0" xfId="0" applyFont="1" applyFill="1" applyAlignment="1">
      <alignment horizontal="center" vertical="center" wrapText="1"/>
    </xf>
    <xf numFmtId="0" fontId="20" fillId="28" borderId="8" xfId="0" applyFont="1" applyFill="1" applyBorder="1" applyAlignment="1">
      <alignment horizontal="center" vertical="center"/>
    </xf>
    <xf numFmtId="164" fontId="18" fillId="6" borderId="8" xfId="0" applyNumberFormat="1" applyFont="1" applyFill="1" applyBorder="1" applyAlignment="1">
      <alignment horizontal="center" vertical="center" wrapText="1"/>
    </xf>
    <xf numFmtId="0" fontId="21" fillId="8" borderId="7" xfId="0" applyFont="1" applyFill="1" applyBorder="1" applyAlignment="1">
      <alignment horizontal="center" vertical="center" wrapText="1"/>
    </xf>
    <xf numFmtId="0" fontId="21" fillId="8" borderId="0" xfId="0" applyFont="1" applyFill="1" applyAlignment="1">
      <alignment horizontal="center" vertical="center" wrapText="1"/>
    </xf>
    <xf numFmtId="0" fontId="21" fillId="8" borderId="6" xfId="0" applyFont="1" applyFill="1" applyBorder="1" applyAlignment="1">
      <alignment horizontal="center" vertical="center" wrapText="1"/>
    </xf>
    <xf numFmtId="0" fontId="19" fillId="14" borderId="11" xfId="0" applyFont="1" applyFill="1" applyBorder="1" applyAlignment="1">
      <alignment horizontal="center" vertical="center" wrapText="1"/>
    </xf>
    <xf numFmtId="0" fontId="19" fillId="14" borderId="18" xfId="0" applyFont="1" applyFill="1" applyBorder="1" applyAlignment="1">
      <alignment horizontal="center" vertical="center" wrapText="1"/>
    </xf>
    <xf numFmtId="0" fontId="19" fillId="14" borderId="12"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21" fillId="5" borderId="39" xfId="0" applyFont="1" applyFill="1" applyBorder="1" applyAlignment="1">
      <alignment horizontal="center" vertical="center" wrapText="1"/>
    </xf>
    <xf numFmtId="0" fontId="21" fillId="5" borderId="29" xfId="0" applyFont="1" applyFill="1" applyBorder="1" applyAlignment="1">
      <alignment horizontal="center" vertical="center" wrapText="1"/>
    </xf>
    <xf numFmtId="0" fontId="21" fillId="19" borderId="19" xfId="0" applyFont="1" applyFill="1" applyBorder="1" applyAlignment="1">
      <alignment horizontal="left" vertical="center"/>
    </xf>
    <xf numFmtId="0" fontId="21" fillId="19" borderId="20" xfId="0" applyFont="1" applyFill="1" applyBorder="1" applyAlignment="1">
      <alignment horizontal="left" vertical="center"/>
    </xf>
    <xf numFmtId="0" fontId="21" fillId="9" borderId="11" xfId="0" applyFont="1" applyFill="1" applyBorder="1" applyAlignment="1">
      <alignment horizontal="center" vertical="center" wrapText="1"/>
    </xf>
    <xf numFmtId="0" fontId="21" fillId="9" borderId="12" xfId="0" applyFont="1" applyFill="1" applyBorder="1" applyAlignment="1">
      <alignment horizontal="center" vertical="center" wrapText="1"/>
    </xf>
    <xf numFmtId="0" fontId="19" fillId="14" borderId="11" xfId="0" applyFont="1" applyFill="1" applyBorder="1" applyAlignment="1">
      <alignment horizontal="center" vertical="center"/>
    </xf>
    <xf numFmtId="0" fontId="19" fillId="14" borderId="18" xfId="0" applyFont="1" applyFill="1" applyBorder="1" applyAlignment="1">
      <alignment horizontal="center" vertical="center"/>
    </xf>
    <xf numFmtId="0" fontId="19" fillId="14" borderId="12" xfId="0" applyFont="1" applyFill="1" applyBorder="1" applyAlignment="1">
      <alignment horizontal="center" vertical="center"/>
    </xf>
    <xf numFmtId="0" fontId="21" fillId="4" borderId="11" xfId="0" applyFont="1" applyFill="1" applyBorder="1" applyAlignment="1">
      <alignment horizontal="center" vertical="center" wrapText="1"/>
    </xf>
    <xf numFmtId="0" fontId="21" fillId="4" borderId="12" xfId="0" applyFont="1" applyFill="1" applyBorder="1" applyAlignment="1">
      <alignment horizontal="center" vertical="center" wrapText="1"/>
    </xf>
    <xf numFmtId="0" fontId="19" fillId="20" borderId="11" xfId="0" applyFont="1" applyFill="1" applyBorder="1" applyAlignment="1">
      <alignment horizontal="center" vertical="center" wrapText="1"/>
    </xf>
    <xf numFmtId="0" fontId="19" fillId="20" borderId="12" xfId="0" applyFont="1" applyFill="1" applyBorder="1" applyAlignment="1">
      <alignment horizontal="center" vertical="center" wrapText="1"/>
    </xf>
    <xf numFmtId="0" fontId="19" fillId="22" borderId="11" xfId="0" applyFont="1" applyFill="1" applyBorder="1" applyAlignment="1">
      <alignment horizontal="center" vertical="center" wrapText="1"/>
    </xf>
    <xf numFmtId="0" fontId="19" fillId="22" borderId="18" xfId="0" applyFont="1" applyFill="1" applyBorder="1" applyAlignment="1">
      <alignment horizontal="center" vertical="center" wrapText="1"/>
    </xf>
    <xf numFmtId="0" fontId="19" fillId="22" borderId="12" xfId="0" applyFont="1" applyFill="1" applyBorder="1" applyAlignment="1">
      <alignment horizontal="center" vertical="center" wrapText="1"/>
    </xf>
    <xf numFmtId="0" fontId="21" fillId="4" borderId="18" xfId="0" applyFont="1" applyFill="1" applyBorder="1" applyAlignment="1">
      <alignment horizontal="center" vertical="center" wrapText="1"/>
    </xf>
    <xf numFmtId="0" fontId="21" fillId="9" borderId="18" xfId="0" applyFont="1" applyFill="1" applyBorder="1" applyAlignment="1">
      <alignment horizontal="center" vertical="center" wrapText="1"/>
    </xf>
    <xf numFmtId="0" fontId="8" fillId="15" borderId="1" xfId="2" applyFont="1" applyFill="1" applyBorder="1" applyAlignment="1">
      <alignment horizontal="center" vertical="center"/>
    </xf>
    <xf numFmtId="0" fontId="8" fillId="15" borderId="2" xfId="2" applyFont="1" applyFill="1" applyBorder="1" applyAlignment="1">
      <alignment horizontal="center" vertical="center"/>
    </xf>
    <xf numFmtId="0" fontId="8" fillId="15" borderId="7" xfId="2" applyFont="1" applyFill="1" applyBorder="1" applyAlignment="1">
      <alignment horizontal="center" vertical="center"/>
    </xf>
    <xf numFmtId="0" fontId="8" fillId="15" borderId="3" xfId="2" applyFont="1" applyFill="1" applyBorder="1" applyAlignment="1">
      <alignment horizontal="center" vertical="center"/>
    </xf>
    <xf numFmtId="0" fontId="6" fillId="17" borderId="26" xfId="2" applyFont="1" applyFill="1" applyBorder="1" applyAlignment="1">
      <alignment horizontal="center" vertical="center"/>
    </xf>
    <xf numFmtId="0" fontId="6" fillId="17" borderId="5" xfId="2" applyFont="1" applyFill="1" applyBorder="1" applyAlignment="1">
      <alignment horizontal="center" vertical="center"/>
    </xf>
    <xf numFmtId="0" fontId="10" fillId="11" borderId="0" xfId="2" applyFont="1" applyFill="1" applyAlignment="1">
      <alignment horizontal="center" vertical="center"/>
    </xf>
    <xf numFmtId="0" fontId="10" fillId="15" borderId="1" xfId="2" applyFont="1" applyFill="1" applyBorder="1" applyAlignment="1">
      <alignment horizontal="center" vertical="center"/>
    </xf>
    <xf numFmtId="0" fontId="10" fillId="15" borderId="7" xfId="2" applyFont="1" applyFill="1" applyBorder="1" applyAlignment="1">
      <alignment horizontal="center" vertical="center"/>
    </xf>
    <xf numFmtId="0" fontId="10" fillId="15" borderId="36" xfId="2" applyFont="1" applyFill="1" applyBorder="1" applyAlignment="1">
      <alignment horizontal="center" vertical="center"/>
    </xf>
    <xf numFmtId="0" fontId="6" fillId="17" borderId="34" xfId="2" applyFont="1" applyFill="1" applyBorder="1" applyAlignment="1">
      <alignment horizontal="center" vertical="center"/>
    </xf>
    <xf numFmtId="0" fontId="29" fillId="30" borderId="8" xfId="0" applyFont="1" applyFill="1" applyBorder="1" applyAlignment="1">
      <alignment horizontal="center"/>
    </xf>
    <xf numFmtId="0" fontId="29" fillId="30" borderId="14" xfId="0" applyFont="1" applyFill="1" applyBorder="1" applyAlignment="1">
      <alignment horizontal="center"/>
    </xf>
    <xf numFmtId="0" fontId="29" fillId="30" borderId="38" xfId="0" applyFont="1" applyFill="1" applyBorder="1" applyAlignment="1">
      <alignment horizontal="center"/>
    </xf>
    <xf numFmtId="0" fontId="29" fillId="30" borderId="9" xfId="0" applyFont="1" applyFill="1" applyBorder="1" applyAlignment="1">
      <alignment horizontal="center"/>
    </xf>
    <xf numFmtId="0" fontId="0" fillId="6" borderId="8" xfId="0" applyFill="1" applyBorder="1" applyAlignment="1">
      <alignment horizontal="left"/>
    </xf>
    <xf numFmtId="0" fontId="29" fillId="24" borderId="11" xfId="0" applyFont="1" applyFill="1" applyBorder="1" applyAlignment="1">
      <alignment horizontal="center"/>
    </xf>
    <xf numFmtId="0" fontId="29" fillId="24" borderId="18" xfId="0" applyFont="1" applyFill="1" applyBorder="1" applyAlignment="1">
      <alignment horizontal="center"/>
    </xf>
    <xf numFmtId="0" fontId="29" fillId="24" borderId="12" xfId="0" applyFont="1" applyFill="1" applyBorder="1" applyAlignment="1">
      <alignment horizontal="center"/>
    </xf>
  </cellXfs>
  <cellStyles count="3">
    <cellStyle name="Normal" xfId="0" builtinId="0"/>
    <cellStyle name="Normal 2" xfId="2" xr:uid="{C4F06F1B-6A5B-2448-8E94-320F9F67B846}"/>
    <cellStyle name="Style 1" xfId="1" xr:uid="{8F852A68-BF6C-6F44-83E3-FAD494FB47F2}"/>
  </cellStyles>
  <dxfs count="8">
    <dxf>
      <font>
        <color rgb="FFFFC000"/>
      </font>
    </dxf>
    <dxf>
      <font>
        <color rgb="FF00B050"/>
      </font>
    </dxf>
    <dxf>
      <font>
        <color rgb="FFFF0000"/>
      </font>
    </dxf>
    <dxf>
      <fill>
        <patternFill patternType="solid">
          <fgColor auto="1"/>
          <bgColor rgb="FFFFFF00"/>
        </patternFill>
      </fill>
    </dxf>
    <dxf>
      <fill>
        <patternFill>
          <bgColor rgb="FFFF0000"/>
        </patternFill>
      </fill>
    </dxf>
    <dxf>
      <fill>
        <patternFill>
          <bgColor theme="5" tint="0.39994506668294322"/>
        </patternFill>
      </fill>
    </dxf>
    <dxf>
      <fill>
        <patternFill>
          <bgColor theme="9" tint="0.59996337778862885"/>
        </patternFill>
      </fill>
    </dxf>
    <dxf>
      <fill>
        <patternFill>
          <bgColor rgb="FF92D050"/>
        </patternFill>
      </fill>
    </dxf>
  </dxfs>
  <tableStyles count="0" defaultTableStyle="TableStyleMedium2" defaultPivotStyle="PivotStyleLight16"/>
  <colors>
    <mruColors>
      <color rgb="FFAC75D5"/>
      <color rgb="FF00FF00"/>
      <color rgb="FF305496"/>
      <color rgb="FFBFC4E2"/>
      <color rgb="FFFF2600"/>
      <color rgb="FFBB4FD1"/>
      <color rgb="FFF23DB6"/>
      <color rgb="FF244AAB"/>
      <color rgb="FFD6F2CB"/>
      <color rgb="FFBDE0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Century Gothic" panose="020B0502020202020204" pitchFamily="34" charset="0"/>
                <a:ea typeface="Arial"/>
                <a:cs typeface="Arial" panose="020B0604020202020204" pitchFamily="34" charset="0"/>
              </a:defRPr>
            </a:pPr>
            <a:r>
              <a:rPr lang="en-ZA">
                <a:latin typeface="Century Gothic" panose="020B0502020202020204" pitchFamily="34" charset="0"/>
                <a:cs typeface="Arial" panose="020B0604020202020204" pitchFamily="34" charset="0"/>
              </a:rPr>
              <a:t>Risk Quartile Matrix Profile</a:t>
            </a:r>
          </a:p>
        </c:rich>
      </c:tx>
      <c:layout>
        <c:manualLayout>
          <c:xMode val="edge"/>
          <c:yMode val="edge"/>
          <c:x val="0.28335056876938985"/>
          <c:y val="1.3559353861255147E-2"/>
        </c:manualLayout>
      </c:layout>
      <c:overlay val="0"/>
      <c:spPr>
        <a:noFill/>
        <a:ln w="25400">
          <a:noFill/>
        </a:ln>
      </c:spPr>
    </c:title>
    <c:autoTitleDeleted val="0"/>
    <c:plotArea>
      <c:layout>
        <c:manualLayout>
          <c:layoutTarget val="inner"/>
          <c:xMode val="edge"/>
          <c:yMode val="edge"/>
          <c:x val="9.6173733195449848E-2"/>
          <c:y val="7.6271186440677943E-2"/>
          <c:w val="0.6866597724922443"/>
          <c:h val="0.87118644067796591"/>
        </c:manualLayout>
      </c:layout>
      <c:bubbleChart>
        <c:varyColors val="0"/>
        <c:ser>
          <c:idx val="0"/>
          <c:order val="0"/>
          <c:tx>
            <c:strRef>
              <c:f>'HVC Tool'!$B$12</c:f>
              <c:strCache>
                <c:ptCount val="1"/>
              </c:strCache>
            </c:strRef>
          </c:tx>
          <c:invertIfNegative val="0"/>
          <c:xVal>
            <c:numRef>
              <c:f>'HVC Tool'!$N$12</c:f>
              <c:numCache>
                <c:formatCode>0.0</c:formatCode>
                <c:ptCount val="1"/>
                <c:pt idx="0">
                  <c:v>0</c:v>
                </c:pt>
              </c:numCache>
            </c:numRef>
          </c:xVal>
          <c:yVal>
            <c:numRef>
              <c:f>'HVC Tool'!$AM$12</c:f>
              <c:numCache>
                <c:formatCode>0.0</c:formatCode>
                <c:ptCount val="1"/>
                <c:pt idx="0">
                  <c:v>0</c:v>
                </c:pt>
              </c:numCache>
            </c:numRef>
          </c:yVal>
          <c:bubbleSize>
            <c:numRef>
              <c:f>'HVC Tool'!$AV$12</c:f>
              <c:numCache>
                <c:formatCode>0.0</c:formatCode>
                <c:ptCount val="1"/>
                <c:pt idx="0">
                  <c:v>0</c:v>
                </c:pt>
              </c:numCache>
            </c:numRef>
          </c:bubbleSize>
          <c:bubble3D val="0"/>
          <c:extLst>
            <c:ext xmlns:c16="http://schemas.microsoft.com/office/drawing/2014/chart" uri="{C3380CC4-5D6E-409C-BE32-E72D297353CC}">
              <c16:uniqueId val="{00000000-F968-4411-80D8-A3FD69D86944}"/>
            </c:ext>
          </c:extLst>
        </c:ser>
        <c:ser>
          <c:idx val="1"/>
          <c:order val="1"/>
          <c:tx>
            <c:strRef>
              <c:f>'HVC Tool'!$B$13</c:f>
              <c:strCache>
                <c:ptCount val="1"/>
              </c:strCache>
            </c:strRef>
          </c:tx>
          <c:spPr>
            <a:ln w="25400">
              <a:noFill/>
            </a:ln>
          </c:spPr>
          <c:invertIfNegative val="0"/>
          <c:xVal>
            <c:numRef>
              <c:f>'HVC Tool'!$N$13</c:f>
              <c:numCache>
                <c:formatCode>0.0</c:formatCode>
                <c:ptCount val="1"/>
                <c:pt idx="0">
                  <c:v>0</c:v>
                </c:pt>
              </c:numCache>
            </c:numRef>
          </c:xVal>
          <c:yVal>
            <c:numRef>
              <c:f>'HVC Tool'!$AM$13</c:f>
              <c:numCache>
                <c:formatCode>0.0</c:formatCode>
                <c:ptCount val="1"/>
                <c:pt idx="0">
                  <c:v>0</c:v>
                </c:pt>
              </c:numCache>
            </c:numRef>
          </c:yVal>
          <c:bubbleSize>
            <c:numRef>
              <c:f>'HVC Tool'!$AV$13</c:f>
              <c:numCache>
                <c:formatCode>0.0</c:formatCode>
                <c:ptCount val="1"/>
                <c:pt idx="0">
                  <c:v>0</c:v>
                </c:pt>
              </c:numCache>
            </c:numRef>
          </c:bubbleSize>
          <c:bubble3D val="0"/>
          <c:extLst>
            <c:ext xmlns:c16="http://schemas.microsoft.com/office/drawing/2014/chart" uri="{C3380CC4-5D6E-409C-BE32-E72D297353CC}">
              <c16:uniqueId val="{00000001-F968-4411-80D8-A3FD69D86944}"/>
            </c:ext>
          </c:extLst>
        </c:ser>
        <c:ser>
          <c:idx val="2"/>
          <c:order val="2"/>
          <c:tx>
            <c:strRef>
              <c:f>'HVC Tool'!$B$14</c:f>
              <c:strCache>
                <c:ptCount val="1"/>
              </c:strCache>
            </c:strRef>
          </c:tx>
          <c:spPr>
            <a:ln w="25400">
              <a:noFill/>
            </a:ln>
          </c:spPr>
          <c:invertIfNegative val="0"/>
          <c:xVal>
            <c:numRef>
              <c:f>'HVC Tool'!$N$14</c:f>
              <c:numCache>
                <c:formatCode>0.0</c:formatCode>
                <c:ptCount val="1"/>
                <c:pt idx="0">
                  <c:v>0</c:v>
                </c:pt>
              </c:numCache>
            </c:numRef>
          </c:xVal>
          <c:yVal>
            <c:numRef>
              <c:f>'HVC Tool'!$AM$14</c:f>
              <c:numCache>
                <c:formatCode>0.0</c:formatCode>
                <c:ptCount val="1"/>
                <c:pt idx="0">
                  <c:v>0</c:v>
                </c:pt>
              </c:numCache>
            </c:numRef>
          </c:yVal>
          <c:bubbleSize>
            <c:numRef>
              <c:f>'HVC Tool'!$AV$14</c:f>
              <c:numCache>
                <c:formatCode>0.0</c:formatCode>
                <c:ptCount val="1"/>
                <c:pt idx="0">
                  <c:v>0</c:v>
                </c:pt>
              </c:numCache>
            </c:numRef>
          </c:bubbleSize>
          <c:bubble3D val="0"/>
          <c:extLst>
            <c:ext xmlns:c16="http://schemas.microsoft.com/office/drawing/2014/chart" uri="{C3380CC4-5D6E-409C-BE32-E72D297353CC}">
              <c16:uniqueId val="{00000002-F968-4411-80D8-A3FD69D86944}"/>
            </c:ext>
          </c:extLst>
        </c:ser>
        <c:ser>
          <c:idx val="3"/>
          <c:order val="3"/>
          <c:tx>
            <c:strRef>
              <c:f>'HVC Tool'!$B$15</c:f>
              <c:strCache>
                <c:ptCount val="1"/>
              </c:strCache>
            </c:strRef>
          </c:tx>
          <c:spPr>
            <a:ln w="25400">
              <a:noFill/>
            </a:ln>
          </c:spPr>
          <c:invertIfNegative val="0"/>
          <c:xVal>
            <c:numRef>
              <c:f>'HVC Tool'!$N$15</c:f>
              <c:numCache>
                <c:formatCode>0.0</c:formatCode>
                <c:ptCount val="1"/>
                <c:pt idx="0">
                  <c:v>0</c:v>
                </c:pt>
              </c:numCache>
            </c:numRef>
          </c:xVal>
          <c:yVal>
            <c:numRef>
              <c:f>'HVC Tool'!$AM$15</c:f>
              <c:numCache>
                <c:formatCode>0.0</c:formatCode>
                <c:ptCount val="1"/>
                <c:pt idx="0">
                  <c:v>0</c:v>
                </c:pt>
              </c:numCache>
            </c:numRef>
          </c:yVal>
          <c:bubbleSize>
            <c:numRef>
              <c:f>'HVC Tool'!$AV$15</c:f>
              <c:numCache>
                <c:formatCode>0.0</c:formatCode>
                <c:ptCount val="1"/>
                <c:pt idx="0">
                  <c:v>0</c:v>
                </c:pt>
              </c:numCache>
            </c:numRef>
          </c:bubbleSize>
          <c:bubble3D val="0"/>
          <c:extLst>
            <c:ext xmlns:c16="http://schemas.microsoft.com/office/drawing/2014/chart" uri="{C3380CC4-5D6E-409C-BE32-E72D297353CC}">
              <c16:uniqueId val="{00000003-F968-4411-80D8-A3FD69D86944}"/>
            </c:ext>
          </c:extLst>
        </c:ser>
        <c:ser>
          <c:idx val="4"/>
          <c:order val="4"/>
          <c:tx>
            <c:strRef>
              <c:f>'HVC Tool'!$B$16</c:f>
              <c:strCache>
                <c:ptCount val="1"/>
              </c:strCache>
            </c:strRef>
          </c:tx>
          <c:spPr>
            <a:ln w="25400">
              <a:noFill/>
            </a:ln>
          </c:spPr>
          <c:invertIfNegative val="0"/>
          <c:xVal>
            <c:numRef>
              <c:f>'HVC Tool'!$N$16</c:f>
              <c:numCache>
                <c:formatCode>0.0</c:formatCode>
                <c:ptCount val="1"/>
                <c:pt idx="0">
                  <c:v>0</c:v>
                </c:pt>
              </c:numCache>
            </c:numRef>
          </c:xVal>
          <c:yVal>
            <c:numRef>
              <c:f>'HVC Tool'!$AM$16</c:f>
              <c:numCache>
                <c:formatCode>0.0</c:formatCode>
                <c:ptCount val="1"/>
                <c:pt idx="0">
                  <c:v>0</c:v>
                </c:pt>
              </c:numCache>
            </c:numRef>
          </c:yVal>
          <c:bubbleSize>
            <c:numRef>
              <c:f>'HVC Tool'!$AN$16</c:f>
              <c:numCache>
                <c:formatCode>0.00</c:formatCode>
                <c:ptCount val="1"/>
                <c:pt idx="0">
                  <c:v>0</c:v>
                </c:pt>
              </c:numCache>
            </c:numRef>
          </c:bubbleSize>
          <c:bubble3D val="0"/>
          <c:extLst>
            <c:ext xmlns:c16="http://schemas.microsoft.com/office/drawing/2014/chart" uri="{C3380CC4-5D6E-409C-BE32-E72D297353CC}">
              <c16:uniqueId val="{00000004-F968-4411-80D8-A3FD69D86944}"/>
            </c:ext>
          </c:extLst>
        </c:ser>
        <c:ser>
          <c:idx val="5"/>
          <c:order val="5"/>
          <c:tx>
            <c:strRef>
              <c:f>'HVC Tool'!$B$17</c:f>
              <c:strCache>
                <c:ptCount val="1"/>
              </c:strCache>
            </c:strRef>
          </c:tx>
          <c:spPr>
            <a:ln w="25400">
              <a:noFill/>
            </a:ln>
          </c:spPr>
          <c:invertIfNegative val="0"/>
          <c:xVal>
            <c:numRef>
              <c:f>'HVC Tool'!$N$17</c:f>
              <c:numCache>
                <c:formatCode>0.0</c:formatCode>
                <c:ptCount val="1"/>
                <c:pt idx="0">
                  <c:v>0</c:v>
                </c:pt>
              </c:numCache>
            </c:numRef>
          </c:xVal>
          <c:yVal>
            <c:numRef>
              <c:f>'HVC Tool'!$AM$17</c:f>
              <c:numCache>
                <c:formatCode>0.0</c:formatCode>
                <c:ptCount val="1"/>
                <c:pt idx="0">
                  <c:v>0</c:v>
                </c:pt>
              </c:numCache>
            </c:numRef>
          </c:yVal>
          <c:bubbleSize>
            <c:numRef>
              <c:f>'HVC Tool'!$AV$17</c:f>
              <c:numCache>
                <c:formatCode>0.0</c:formatCode>
                <c:ptCount val="1"/>
                <c:pt idx="0">
                  <c:v>0</c:v>
                </c:pt>
              </c:numCache>
            </c:numRef>
          </c:bubbleSize>
          <c:bubble3D val="0"/>
          <c:extLst>
            <c:ext xmlns:c16="http://schemas.microsoft.com/office/drawing/2014/chart" uri="{C3380CC4-5D6E-409C-BE32-E72D297353CC}">
              <c16:uniqueId val="{00000005-F968-4411-80D8-A3FD69D86944}"/>
            </c:ext>
          </c:extLst>
        </c:ser>
        <c:ser>
          <c:idx val="6"/>
          <c:order val="6"/>
          <c:tx>
            <c:strRef>
              <c:f>'HVC Tool'!$B$18</c:f>
              <c:strCache>
                <c:ptCount val="1"/>
              </c:strCache>
            </c:strRef>
          </c:tx>
          <c:spPr>
            <a:ln w="25400">
              <a:noFill/>
            </a:ln>
          </c:spPr>
          <c:invertIfNegative val="0"/>
          <c:xVal>
            <c:numRef>
              <c:f>'HVC Tool'!$N$18</c:f>
              <c:numCache>
                <c:formatCode>0.0</c:formatCode>
                <c:ptCount val="1"/>
                <c:pt idx="0">
                  <c:v>0</c:v>
                </c:pt>
              </c:numCache>
            </c:numRef>
          </c:xVal>
          <c:yVal>
            <c:numRef>
              <c:f>'HVC Tool'!$AM$18</c:f>
              <c:numCache>
                <c:formatCode>0.0</c:formatCode>
                <c:ptCount val="1"/>
                <c:pt idx="0">
                  <c:v>0</c:v>
                </c:pt>
              </c:numCache>
            </c:numRef>
          </c:yVal>
          <c:bubbleSize>
            <c:numRef>
              <c:f>'HVC Tool'!$AV$18</c:f>
              <c:numCache>
                <c:formatCode>0.0</c:formatCode>
                <c:ptCount val="1"/>
                <c:pt idx="0">
                  <c:v>0</c:v>
                </c:pt>
              </c:numCache>
            </c:numRef>
          </c:bubbleSize>
          <c:bubble3D val="0"/>
          <c:extLst>
            <c:ext xmlns:c16="http://schemas.microsoft.com/office/drawing/2014/chart" uri="{C3380CC4-5D6E-409C-BE32-E72D297353CC}">
              <c16:uniqueId val="{00000006-F968-4411-80D8-A3FD69D86944}"/>
            </c:ext>
          </c:extLst>
        </c:ser>
        <c:ser>
          <c:idx val="8"/>
          <c:order val="7"/>
          <c:tx>
            <c:strRef>
              <c:f>'HVC Tool'!$B$19</c:f>
              <c:strCache>
                <c:ptCount val="1"/>
              </c:strCache>
            </c:strRef>
          </c:tx>
          <c:spPr>
            <a:ln w="25400">
              <a:noFill/>
            </a:ln>
          </c:spPr>
          <c:invertIfNegative val="0"/>
          <c:xVal>
            <c:numRef>
              <c:f>'HVC Tool'!$N$19</c:f>
              <c:numCache>
                <c:formatCode>0.0</c:formatCode>
                <c:ptCount val="1"/>
                <c:pt idx="0">
                  <c:v>0</c:v>
                </c:pt>
              </c:numCache>
            </c:numRef>
          </c:xVal>
          <c:yVal>
            <c:numRef>
              <c:f>'HVC Tool'!$AM$19</c:f>
              <c:numCache>
                <c:formatCode>0.0</c:formatCode>
                <c:ptCount val="1"/>
                <c:pt idx="0">
                  <c:v>0</c:v>
                </c:pt>
              </c:numCache>
            </c:numRef>
          </c:yVal>
          <c:bubbleSize>
            <c:numRef>
              <c:f>'HVC Tool'!$AV$19</c:f>
              <c:numCache>
                <c:formatCode>0.0</c:formatCode>
                <c:ptCount val="1"/>
                <c:pt idx="0">
                  <c:v>0</c:v>
                </c:pt>
              </c:numCache>
            </c:numRef>
          </c:bubbleSize>
          <c:bubble3D val="0"/>
          <c:extLst>
            <c:ext xmlns:c16="http://schemas.microsoft.com/office/drawing/2014/chart" uri="{C3380CC4-5D6E-409C-BE32-E72D297353CC}">
              <c16:uniqueId val="{00000007-F968-4411-80D8-A3FD69D86944}"/>
            </c:ext>
          </c:extLst>
        </c:ser>
        <c:ser>
          <c:idx val="9"/>
          <c:order val="8"/>
          <c:tx>
            <c:strRef>
              <c:f>'HVC Tool'!$B$20</c:f>
              <c:strCache>
                <c:ptCount val="1"/>
              </c:strCache>
            </c:strRef>
          </c:tx>
          <c:spPr>
            <a:ln w="25400">
              <a:noFill/>
            </a:ln>
          </c:spPr>
          <c:invertIfNegative val="0"/>
          <c:dPt>
            <c:idx val="0"/>
            <c:invertIfNegative val="0"/>
            <c:bubble3D val="0"/>
            <c:extLst>
              <c:ext xmlns:c16="http://schemas.microsoft.com/office/drawing/2014/chart" uri="{C3380CC4-5D6E-409C-BE32-E72D297353CC}">
                <c16:uniqueId val="{00000000-FB79-4766-8BCE-F108D9479122}"/>
              </c:ext>
            </c:extLst>
          </c:dPt>
          <c:xVal>
            <c:numRef>
              <c:f>'HVC Tool'!$N$20</c:f>
              <c:numCache>
                <c:formatCode>0.0</c:formatCode>
                <c:ptCount val="1"/>
                <c:pt idx="0">
                  <c:v>0</c:v>
                </c:pt>
              </c:numCache>
            </c:numRef>
          </c:xVal>
          <c:yVal>
            <c:numRef>
              <c:f>'HVC Tool'!$AM$20</c:f>
              <c:numCache>
                <c:formatCode>0.0</c:formatCode>
                <c:ptCount val="1"/>
                <c:pt idx="0">
                  <c:v>0</c:v>
                </c:pt>
              </c:numCache>
            </c:numRef>
          </c:yVal>
          <c:bubbleSize>
            <c:numRef>
              <c:f>'HVC Tool'!$AV$20</c:f>
              <c:numCache>
                <c:formatCode>0.0</c:formatCode>
                <c:ptCount val="1"/>
                <c:pt idx="0">
                  <c:v>0</c:v>
                </c:pt>
              </c:numCache>
            </c:numRef>
          </c:bubbleSize>
          <c:bubble3D val="0"/>
          <c:extLst>
            <c:ext xmlns:c16="http://schemas.microsoft.com/office/drawing/2014/chart" uri="{C3380CC4-5D6E-409C-BE32-E72D297353CC}">
              <c16:uniqueId val="{00000008-F968-4411-80D8-A3FD69D86944}"/>
            </c:ext>
          </c:extLst>
        </c:ser>
        <c:ser>
          <c:idx val="10"/>
          <c:order val="9"/>
          <c:tx>
            <c:strRef>
              <c:f>'HVC Tool'!$B$21</c:f>
              <c:strCache>
                <c:ptCount val="1"/>
              </c:strCache>
            </c:strRef>
          </c:tx>
          <c:spPr>
            <a:ln w="25400">
              <a:noFill/>
            </a:ln>
          </c:spPr>
          <c:invertIfNegative val="0"/>
          <c:xVal>
            <c:numRef>
              <c:f>'HVC Tool'!$N$21</c:f>
              <c:numCache>
                <c:formatCode>0.0</c:formatCode>
                <c:ptCount val="1"/>
                <c:pt idx="0">
                  <c:v>0</c:v>
                </c:pt>
              </c:numCache>
            </c:numRef>
          </c:xVal>
          <c:yVal>
            <c:numRef>
              <c:f>'HVC Tool'!$AM$21</c:f>
              <c:numCache>
                <c:formatCode>0.0</c:formatCode>
                <c:ptCount val="1"/>
                <c:pt idx="0">
                  <c:v>0</c:v>
                </c:pt>
              </c:numCache>
            </c:numRef>
          </c:yVal>
          <c:bubbleSize>
            <c:numRef>
              <c:f>'HVC Tool'!$AV$21</c:f>
              <c:numCache>
                <c:formatCode>0.0</c:formatCode>
                <c:ptCount val="1"/>
                <c:pt idx="0">
                  <c:v>0</c:v>
                </c:pt>
              </c:numCache>
            </c:numRef>
          </c:bubbleSize>
          <c:bubble3D val="0"/>
          <c:extLst>
            <c:ext xmlns:c16="http://schemas.microsoft.com/office/drawing/2014/chart" uri="{C3380CC4-5D6E-409C-BE32-E72D297353CC}">
              <c16:uniqueId val="{00000009-F968-4411-80D8-A3FD69D86944}"/>
            </c:ext>
          </c:extLst>
        </c:ser>
        <c:ser>
          <c:idx val="11"/>
          <c:order val="10"/>
          <c:tx>
            <c:strRef>
              <c:f>'HVC Tool'!$B$22</c:f>
              <c:strCache>
                <c:ptCount val="1"/>
              </c:strCache>
            </c:strRef>
          </c:tx>
          <c:spPr>
            <a:ln w="25400">
              <a:noFill/>
            </a:ln>
          </c:spPr>
          <c:invertIfNegative val="0"/>
          <c:xVal>
            <c:numRef>
              <c:f>'HVC Tool'!$N$22</c:f>
              <c:numCache>
                <c:formatCode>0.0</c:formatCode>
                <c:ptCount val="1"/>
                <c:pt idx="0">
                  <c:v>0</c:v>
                </c:pt>
              </c:numCache>
            </c:numRef>
          </c:xVal>
          <c:yVal>
            <c:numRef>
              <c:f>'HVC Tool'!$AM$22</c:f>
              <c:numCache>
                <c:formatCode>0.0</c:formatCode>
                <c:ptCount val="1"/>
                <c:pt idx="0">
                  <c:v>0</c:v>
                </c:pt>
              </c:numCache>
            </c:numRef>
          </c:yVal>
          <c:bubbleSize>
            <c:numRef>
              <c:f>'HVC Tool'!$AV$22</c:f>
              <c:numCache>
                <c:formatCode>0.0</c:formatCode>
                <c:ptCount val="1"/>
                <c:pt idx="0">
                  <c:v>0</c:v>
                </c:pt>
              </c:numCache>
            </c:numRef>
          </c:bubbleSize>
          <c:bubble3D val="0"/>
          <c:extLst>
            <c:ext xmlns:c16="http://schemas.microsoft.com/office/drawing/2014/chart" uri="{C3380CC4-5D6E-409C-BE32-E72D297353CC}">
              <c16:uniqueId val="{0000000A-F968-4411-80D8-A3FD69D86944}"/>
            </c:ext>
          </c:extLst>
        </c:ser>
        <c:ser>
          <c:idx val="12"/>
          <c:order val="11"/>
          <c:tx>
            <c:strRef>
              <c:f>'HVC Tool'!$B$23</c:f>
              <c:strCache>
                <c:ptCount val="1"/>
              </c:strCache>
            </c:strRef>
          </c:tx>
          <c:spPr>
            <a:ln w="25400">
              <a:noFill/>
            </a:ln>
          </c:spPr>
          <c:invertIfNegative val="0"/>
          <c:xVal>
            <c:numRef>
              <c:f>'HVC Tool'!$N$23</c:f>
              <c:numCache>
                <c:formatCode>0.0</c:formatCode>
                <c:ptCount val="1"/>
                <c:pt idx="0">
                  <c:v>0</c:v>
                </c:pt>
              </c:numCache>
            </c:numRef>
          </c:xVal>
          <c:yVal>
            <c:numRef>
              <c:f>'HVC Tool'!$AM$23</c:f>
              <c:numCache>
                <c:formatCode>0.0</c:formatCode>
                <c:ptCount val="1"/>
                <c:pt idx="0">
                  <c:v>0</c:v>
                </c:pt>
              </c:numCache>
            </c:numRef>
          </c:yVal>
          <c:bubbleSize>
            <c:numRef>
              <c:f>'HVC Tool'!$AV$23</c:f>
              <c:numCache>
                <c:formatCode>0.0</c:formatCode>
                <c:ptCount val="1"/>
                <c:pt idx="0">
                  <c:v>0</c:v>
                </c:pt>
              </c:numCache>
            </c:numRef>
          </c:bubbleSize>
          <c:bubble3D val="0"/>
          <c:extLst>
            <c:ext xmlns:c16="http://schemas.microsoft.com/office/drawing/2014/chart" uri="{C3380CC4-5D6E-409C-BE32-E72D297353CC}">
              <c16:uniqueId val="{0000000B-F968-4411-80D8-A3FD69D86944}"/>
            </c:ext>
          </c:extLst>
        </c:ser>
        <c:ser>
          <c:idx val="13"/>
          <c:order val="12"/>
          <c:tx>
            <c:strRef>
              <c:f>'HVC Tool'!$B$24</c:f>
              <c:strCache>
                <c:ptCount val="1"/>
              </c:strCache>
            </c:strRef>
          </c:tx>
          <c:spPr>
            <a:ln w="25400">
              <a:noFill/>
            </a:ln>
          </c:spPr>
          <c:invertIfNegative val="0"/>
          <c:xVal>
            <c:numRef>
              <c:f>'HVC Tool'!$N$24</c:f>
              <c:numCache>
                <c:formatCode>0.0</c:formatCode>
                <c:ptCount val="1"/>
                <c:pt idx="0">
                  <c:v>0</c:v>
                </c:pt>
              </c:numCache>
            </c:numRef>
          </c:xVal>
          <c:yVal>
            <c:numRef>
              <c:f>'HVC Tool'!$AM$24</c:f>
              <c:numCache>
                <c:formatCode>0.0</c:formatCode>
                <c:ptCount val="1"/>
                <c:pt idx="0">
                  <c:v>0</c:v>
                </c:pt>
              </c:numCache>
            </c:numRef>
          </c:yVal>
          <c:bubbleSize>
            <c:numRef>
              <c:f>'HVC Tool'!$AV$24</c:f>
              <c:numCache>
                <c:formatCode>0.0</c:formatCode>
                <c:ptCount val="1"/>
                <c:pt idx="0">
                  <c:v>0</c:v>
                </c:pt>
              </c:numCache>
            </c:numRef>
          </c:bubbleSize>
          <c:bubble3D val="0"/>
          <c:extLst>
            <c:ext xmlns:c16="http://schemas.microsoft.com/office/drawing/2014/chart" uri="{C3380CC4-5D6E-409C-BE32-E72D297353CC}">
              <c16:uniqueId val="{0000000C-F968-4411-80D8-A3FD69D86944}"/>
            </c:ext>
          </c:extLst>
        </c:ser>
        <c:ser>
          <c:idx val="14"/>
          <c:order val="13"/>
          <c:tx>
            <c:strRef>
              <c:f>'HVC Tool'!$B$25</c:f>
              <c:strCache>
                <c:ptCount val="1"/>
              </c:strCache>
            </c:strRef>
          </c:tx>
          <c:spPr>
            <a:ln w="25400">
              <a:noFill/>
            </a:ln>
          </c:spPr>
          <c:invertIfNegative val="0"/>
          <c:xVal>
            <c:numRef>
              <c:f>'HVC Tool'!$N$25</c:f>
              <c:numCache>
                <c:formatCode>0.0</c:formatCode>
                <c:ptCount val="1"/>
                <c:pt idx="0">
                  <c:v>0</c:v>
                </c:pt>
              </c:numCache>
            </c:numRef>
          </c:xVal>
          <c:yVal>
            <c:numRef>
              <c:f>'HVC Tool'!$AM$25</c:f>
              <c:numCache>
                <c:formatCode>0.0</c:formatCode>
                <c:ptCount val="1"/>
                <c:pt idx="0">
                  <c:v>0</c:v>
                </c:pt>
              </c:numCache>
            </c:numRef>
          </c:yVal>
          <c:bubbleSize>
            <c:numRef>
              <c:f>'HVC Tool'!$AV$25</c:f>
              <c:numCache>
                <c:formatCode>0.0</c:formatCode>
                <c:ptCount val="1"/>
                <c:pt idx="0">
                  <c:v>0</c:v>
                </c:pt>
              </c:numCache>
            </c:numRef>
          </c:bubbleSize>
          <c:bubble3D val="0"/>
          <c:extLst>
            <c:ext xmlns:c16="http://schemas.microsoft.com/office/drawing/2014/chart" uri="{C3380CC4-5D6E-409C-BE32-E72D297353CC}">
              <c16:uniqueId val="{0000000D-F968-4411-80D8-A3FD69D86944}"/>
            </c:ext>
          </c:extLst>
        </c:ser>
        <c:ser>
          <c:idx val="7"/>
          <c:order val="14"/>
          <c:tx>
            <c:strRef>
              <c:f>'HVC Tool'!$B$26</c:f>
              <c:strCache>
                <c:ptCount val="1"/>
              </c:strCache>
            </c:strRef>
          </c:tx>
          <c:spPr>
            <a:ln w="25400">
              <a:noFill/>
            </a:ln>
          </c:spPr>
          <c:invertIfNegative val="0"/>
          <c:xVal>
            <c:numRef>
              <c:f>'HVC Tool'!$N$26</c:f>
              <c:numCache>
                <c:formatCode>0.0</c:formatCode>
                <c:ptCount val="1"/>
                <c:pt idx="0">
                  <c:v>0</c:v>
                </c:pt>
              </c:numCache>
            </c:numRef>
          </c:xVal>
          <c:yVal>
            <c:numRef>
              <c:f>'HVC Tool'!$AM$26</c:f>
              <c:numCache>
                <c:formatCode>0.0</c:formatCode>
                <c:ptCount val="1"/>
                <c:pt idx="0">
                  <c:v>0</c:v>
                </c:pt>
              </c:numCache>
            </c:numRef>
          </c:yVal>
          <c:bubbleSize>
            <c:numRef>
              <c:f>'HVC Tool'!$AV$26</c:f>
              <c:numCache>
                <c:formatCode>0.0</c:formatCode>
                <c:ptCount val="1"/>
                <c:pt idx="0">
                  <c:v>0</c:v>
                </c:pt>
              </c:numCache>
            </c:numRef>
          </c:bubbleSize>
          <c:bubble3D val="0"/>
          <c:extLst>
            <c:ext xmlns:c16="http://schemas.microsoft.com/office/drawing/2014/chart" uri="{C3380CC4-5D6E-409C-BE32-E72D297353CC}">
              <c16:uniqueId val="{0000000E-F968-4411-80D8-A3FD69D86944}"/>
            </c:ext>
          </c:extLst>
        </c:ser>
        <c:dLbls>
          <c:showLegendKey val="0"/>
          <c:showVal val="0"/>
          <c:showCatName val="0"/>
          <c:showSerName val="0"/>
          <c:showPercent val="0"/>
          <c:showBubbleSize val="0"/>
        </c:dLbls>
        <c:bubbleScale val="50"/>
        <c:showNegBubbles val="0"/>
        <c:axId val="114712576"/>
        <c:axId val="114714496"/>
      </c:bubbleChart>
      <c:valAx>
        <c:axId val="114712576"/>
        <c:scaling>
          <c:orientation val="minMax"/>
          <c:max val="5"/>
          <c:min val="0"/>
        </c:scaling>
        <c:delete val="0"/>
        <c:axPos val="b"/>
        <c:title>
          <c:tx>
            <c:rich>
              <a:bodyPr/>
              <a:lstStyle/>
              <a:p>
                <a:pPr>
                  <a:defRPr sz="1100" b="1" i="0" u="none" strike="noStrike" baseline="0">
                    <a:solidFill>
                      <a:srgbClr val="000000"/>
                    </a:solidFill>
                    <a:latin typeface="Century Gothic" panose="020B0502020202020204" pitchFamily="34" charset="0"/>
                    <a:ea typeface="Arial"/>
                    <a:cs typeface="Arial"/>
                  </a:defRPr>
                </a:pPr>
                <a:r>
                  <a:rPr lang="en-ZA" sz="1100">
                    <a:latin typeface="Century Gothic" panose="020B0502020202020204" pitchFamily="34" charset="0"/>
                  </a:rPr>
                  <a:t>Hazard Index </a:t>
                </a:r>
              </a:p>
            </c:rich>
          </c:tx>
          <c:layout>
            <c:manualLayout>
              <c:xMode val="edge"/>
              <c:yMode val="edge"/>
              <c:x val="0.41381014261329224"/>
              <c:y val="0.96888583396910855"/>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14714496"/>
        <c:crossesAt val="0"/>
        <c:crossBetween val="midCat"/>
        <c:majorUnit val="1"/>
        <c:minorUnit val="0.1"/>
      </c:valAx>
      <c:valAx>
        <c:axId val="114714496"/>
        <c:scaling>
          <c:orientation val="minMax"/>
          <c:max val="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Century Gothic" panose="020B0502020202020204" pitchFamily="34" charset="0"/>
                    <a:ea typeface="Arial"/>
                    <a:cs typeface="Arial"/>
                  </a:defRPr>
                </a:pPr>
                <a:r>
                  <a:rPr lang="en-ZA" sz="1200">
                    <a:latin typeface="Century Gothic" panose="020B0502020202020204" pitchFamily="34" charset="0"/>
                  </a:rPr>
                  <a:t>Resilience Index</a:t>
                </a:r>
              </a:p>
            </c:rich>
          </c:tx>
          <c:layout>
            <c:manualLayout>
              <c:xMode val="edge"/>
              <c:yMode val="edge"/>
              <c:x val="3.4126163391933813E-2"/>
              <c:y val="0.45254243219597551"/>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14712576"/>
        <c:crossesAt val="0"/>
        <c:crossBetween val="midCat"/>
        <c:majorUnit val="1"/>
        <c:minorUnit val="0.1"/>
      </c:valAx>
      <c:spPr>
        <a:blipFill dpi="0" rotWithShape="0">
          <a:blip xmlns:r="http://schemas.openxmlformats.org/officeDocument/2006/relationships" r:embed="rId1"/>
          <a:srcRect/>
          <a:stretch>
            <a:fillRect/>
          </a:stretch>
        </a:blipFill>
        <a:ln w="12700">
          <a:solidFill>
            <a:srgbClr val="808080"/>
          </a:solidFill>
          <a:prstDash val="solid"/>
        </a:ln>
      </c:spPr>
    </c:plotArea>
    <c:legend>
      <c:legendPos val="r"/>
      <c:layout>
        <c:manualLayout>
          <c:xMode val="edge"/>
          <c:yMode val="edge"/>
          <c:x val="0.80765253360910028"/>
          <c:y val="7.6977231504598509E-2"/>
          <c:w val="0.18137150643139621"/>
          <c:h val="0.86521460427202701"/>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79374</xdr:colOff>
      <xdr:row>6</xdr:row>
      <xdr:rowOff>196848</xdr:rowOff>
    </xdr:from>
    <xdr:to>
      <xdr:col>16</xdr:col>
      <xdr:colOff>301624</xdr:colOff>
      <xdr:row>42</xdr:row>
      <xdr:rowOff>85724</xdr:rowOff>
    </xdr:to>
    <xdr:graphicFrame macro="">
      <xdr:nvGraphicFramePr>
        <xdr:cNvPr id="2" name="Chart 1">
          <a:extLst>
            <a:ext uri="{FF2B5EF4-FFF2-40B4-BE49-F238E27FC236}">
              <a16:creationId xmlns:a16="http://schemas.microsoft.com/office/drawing/2014/main" id="{D0FA08EB-1785-4B30-A856-7D2EADC60D6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238125</xdr:colOff>
      <xdr:row>19</xdr:row>
      <xdr:rowOff>63500</xdr:rowOff>
    </xdr:from>
    <xdr:to>
      <xdr:col>19</xdr:col>
      <xdr:colOff>0</xdr:colOff>
      <xdr:row>21</xdr:row>
      <xdr:rowOff>47625</xdr:rowOff>
    </xdr:to>
    <xdr:sp macro="" textlink="">
      <xdr:nvSpPr>
        <xdr:cNvPr id="3" name="Oval 2">
          <a:extLst>
            <a:ext uri="{FF2B5EF4-FFF2-40B4-BE49-F238E27FC236}">
              <a16:creationId xmlns:a16="http://schemas.microsoft.com/office/drawing/2014/main" id="{F341E20A-5AD4-B341-C6C6-572A2920F3E9}"/>
            </a:ext>
          </a:extLst>
        </xdr:cNvPr>
        <xdr:cNvSpPr/>
      </xdr:nvSpPr>
      <xdr:spPr>
        <a:xfrm>
          <a:off x="12525375" y="3984625"/>
          <a:ext cx="444500" cy="396875"/>
        </a:xfrm>
        <a:prstGeom prst="ellipse">
          <a:avLst/>
        </a:prstGeom>
        <a:solidFill>
          <a:schemeClr val="bg2">
            <a:lumMod val="9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18</xdr:col>
      <xdr:colOff>142875</xdr:colOff>
      <xdr:row>22</xdr:row>
      <xdr:rowOff>79375</xdr:rowOff>
    </xdr:from>
    <xdr:to>
      <xdr:col>19</xdr:col>
      <xdr:colOff>127000</xdr:colOff>
      <xdr:row>25</xdr:row>
      <xdr:rowOff>95250</xdr:rowOff>
    </xdr:to>
    <xdr:sp macro="" textlink="">
      <xdr:nvSpPr>
        <xdr:cNvPr id="4" name="Oval 3">
          <a:extLst>
            <a:ext uri="{FF2B5EF4-FFF2-40B4-BE49-F238E27FC236}">
              <a16:creationId xmlns:a16="http://schemas.microsoft.com/office/drawing/2014/main" id="{6C7E985F-FC0F-4EC7-8628-BAB4AA349B9C}"/>
            </a:ext>
          </a:extLst>
        </xdr:cNvPr>
        <xdr:cNvSpPr/>
      </xdr:nvSpPr>
      <xdr:spPr>
        <a:xfrm>
          <a:off x="12430125" y="4619625"/>
          <a:ext cx="666750" cy="635000"/>
        </a:xfrm>
        <a:prstGeom prst="ellipse">
          <a:avLst/>
        </a:prstGeom>
        <a:solidFill>
          <a:schemeClr val="bg2">
            <a:lumMod val="9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18</xdr:col>
      <xdr:colOff>57149</xdr:colOff>
      <xdr:row>26</xdr:row>
      <xdr:rowOff>73025</xdr:rowOff>
    </xdr:from>
    <xdr:to>
      <xdr:col>19</xdr:col>
      <xdr:colOff>254000</xdr:colOff>
      <xdr:row>30</xdr:row>
      <xdr:rowOff>142875</xdr:rowOff>
    </xdr:to>
    <xdr:sp macro="" textlink="">
      <xdr:nvSpPr>
        <xdr:cNvPr id="5" name="Oval 4">
          <a:extLst>
            <a:ext uri="{FF2B5EF4-FFF2-40B4-BE49-F238E27FC236}">
              <a16:creationId xmlns:a16="http://schemas.microsoft.com/office/drawing/2014/main" id="{5A40BC65-7748-430C-B9BD-6FA38B2E16C3}"/>
            </a:ext>
          </a:extLst>
        </xdr:cNvPr>
        <xdr:cNvSpPr/>
      </xdr:nvSpPr>
      <xdr:spPr>
        <a:xfrm>
          <a:off x="12344399" y="5438775"/>
          <a:ext cx="879476" cy="895350"/>
        </a:xfrm>
        <a:prstGeom prst="ellipse">
          <a:avLst/>
        </a:prstGeom>
        <a:solidFill>
          <a:schemeClr val="bg2">
            <a:lumMod val="9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rivate/Downloads/Hat_v8.2_xls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 2 Hazard Analysis"/>
      <sheetName val="Step 3 Hazard Priority"/>
      <sheetName val="Hazard Dashboard"/>
      <sheetName val="Hazard Criteria (Protected)"/>
    </sheetNames>
    <sheetDataSet>
      <sheetData sheetId="0" refreshError="1"/>
      <sheetData sheetId="1" refreshError="1"/>
      <sheetData sheetId="2" refreshError="1"/>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3E32-2A27-49F3-8E0E-B8A70D763390}">
  <dimension ref="A1:AE6"/>
  <sheetViews>
    <sheetView zoomScale="80" zoomScaleNormal="80" workbookViewId="0">
      <selection activeCell="B13" sqref="B13"/>
    </sheetView>
  </sheetViews>
  <sheetFormatPr defaultRowHeight="15.75"/>
  <cols>
    <col min="1" max="1" width="38.125" bestFit="1" customWidth="1"/>
    <col min="2" max="2" width="63.375" customWidth="1"/>
  </cols>
  <sheetData>
    <row r="1" spans="1:31" s="42" customFormat="1" ht="36" customHeight="1">
      <c r="A1" s="153" t="s">
        <v>0</v>
      </c>
      <c r="B1" s="156"/>
      <c r="C1" s="41"/>
      <c r="V1" s="41"/>
      <c r="X1" s="41"/>
      <c r="Z1" s="41"/>
      <c r="AB1" s="41"/>
      <c r="AD1" s="41"/>
      <c r="AE1" s="41"/>
    </row>
    <row r="2" spans="1:31" s="81" customFormat="1" ht="27" customHeight="1">
      <c r="A2" s="152" t="s">
        <v>1</v>
      </c>
      <c r="B2" s="79"/>
      <c r="C2" s="80"/>
      <c r="D2" s="151"/>
      <c r="E2" s="151"/>
      <c r="F2" s="151"/>
      <c r="G2" s="151"/>
      <c r="H2" s="151"/>
      <c r="V2" s="80"/>
      <c r="X2" s="80"/>
      <c r="Z2" s="80"/>
      <c r="AB2" s="80"/>
      <c r="AD2" s="80"/>
      <c r="AE2" s="80"/>
    </row>
    <row r="3" spans="1:31" s="81" customFormat="1" ht="27" customHeight="1">
      <c r="A3" s="154" t="s">
        <v>2</v>
      </c>
      <c r="B3" s="157"/>
      <c r="C3" s="80"/>
      <c r="D3" s="151"/>
      <c r="E3" s="151"/>
      <c r="F3" s="151"/>
      <c r="G3" s="151"/>
      <c r="H3" s="151"/>
      <c r="V3" s="80"/>
      <c r="X3" s="80"/>
      <c r="Z3" s="80"/>
      <c r="AB3" s="80"/>
      <c r="AD3" s="80"/>
      <c r="AE3" s="80"/>
    </row>
    <row r="4" spans="1:31" s="81" customFormat="1" ht="27.95" customHeight="1">
      <c r="A4" s="155" t="s">
        <v>3</v>
      </c>
      <c r="B4" s="79"/>
      <c r="C4" s="80"/>
      <c r="D4" s="151"/>
      <c r="E4" s="151"/>
      <c r="F4" s="151"/>
      <c r="G4" s="151"/>
      <c r="H4" s="151"/>
      <c r="V4" s="80"/>
      <c r="X4" s="80"/>
      <c r="Z4" s="80"/>
      <c r="AB4" s="80"/>
      <c r="AD4" s="80"/>
      <c r="AE4" s="80"/>
    </row>
    <row r="5" spans="1:31" s="81" customFormat="1" ht="27" customHeight="1">
      <c r="A5" s="152" t="s">
        <v>4</v>
      </c>
      <c r="B5" s="79"/>
      <c r="C5" s="80"/>
      <c r="D5" s="82"/>
      <c r="E5" s="82"/>
      <c r="F5" s="82"/>
      <c r="G5" s="82"/>
      <c r="V5" s="80"/>
      <c r="X5" s="80"/>
      <c r="Z5" s="80"/>
      <c r="AB5" s="80"/>
      <c r="AD5" s="80"/>
      <c r="AE5" s="80"/>
    </row>
    <row r="6" spans="1:31" s="42" customFormat="1" ht="39" customHeight="1">
      <c r="C6" s="41"/>
      <c r="D6" s="44"/>
      <c r="E6" s="44"/>
      <c r="F6" s="44"/>
      <c r="G6" s="44"/>
      <c r="V6" s="41"/>
      <c r="X6" s="41"/>
      <c r="Z6" s="41"/>
      <c r="AB6" s="41"/>
      <c r="AD6" s="41"/>
      <c r="AE6" s="41"/>
    </row>
  </sheetData>
  <conditionalFormatting sqref="AO1:AO6">
    <cfRule type="iconSet" priority="2724">
      <iconSet>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C40F-860E-5C4B-9064-33B848F95200}">
  <sheetPr codeName="Sheet1">
    <tabColor theme="9" tint="0.59999389629810485"/>
  </sheetPr>
  <dimension ref="A1:AX118"/>
  <sheetViews>
    <sheetView tabSelected="1" topLeftCell="B1" zoomScale="70" zoomScaleNormal="70" workbookViewId="0">
      <pane xSplit="1" ySplit="11" topLeftCell="C12" activePane="bottomRight" state="frozen"/>
      <selection pane="bottomRight" activeCell="B1" sqref="B1:AO1"/>
      <selection pane="bottomLeft" activeCell="B12" sqref="B12"/>
      <selection pane="topRight" activeCell="C1" sqref="C1"/>
    </sheetView>
  </sheetViews>
  <sheetFormatPr defaultColWidth="9.125" defaultRowHeight="15" customHeight="1"/>
  <cols>
    <col min="1" max="1" width="3" style="42" hidden="1" customWidth="1"/>
    <col min="2" max="2" width="46" style="42" customWidth="1"/>
    <col min="3" max="5" width="30.625" style="42" customWidth="1"/>
    <col min="6" max="6" width="18.375" style="41" customWidth="1"/>
    <col min="7" max="7" width="4.5" style="41" customWidth="1"/>
    <col min="8" max="8" width="18.375" style="42" customWidth="1"/>
    <col min="9" max="9" width="4.375" style="42" customWidth="1"/>
    <col min="10" max="10" width="18.375" style="42" customWidth="1"/>
    <col min="11" max="11" width="5" style="42" customWidth="1"/>
    <col min="12" max="12" width="18.375" style="42" customWidth="1"/>
    <col min="13" max="13" width="4.875" style="42" customWidth="1"/>
    <col min="14" max="14" width="11.875" style="42" customWidth="1"/>
    <col min="15" max="15" width="18.375" style="42" customWidth="1"/>
    <col min="16" max="16" width="5.125" style="42" customWidth="1"/>
    <col min="17" max="17" width="18.375" style="42" customWidth="1"/>
    <col min="18" max="18" width="5.125" style="42" customWidth="1"/>
    <col min="19" max="19" width="18.375" style="42" customWidth="1"/>
    <col min="20" max="20" width="5.125" style="42" customWidth="1"/>
    <col min="21" max="21" width="18.375" style="42" customWidth="1"/>
    <col min="22" max="22" width="5.125" style="42" customWidth="1"/>
    <col min="23" max="23" width="18.375" style="42" customWidth="1"/>
    <col min="24" max="24" width="5.125" style="42" customWidth="1"/>
    <col min="25" max="25" width="15.25" style="42" customWidth="1"/>
    <col min="26" max="26" width="18.375" style="41" customWidth="1"/>
    <col min="27" max="27" width="5.125" style="42" customWidth="1"/>
    <col min="28" max="28" width="18.375" style="41" customWidth="1"/>
    <col min="29" max="29" width="5.125" style="42" customWidth="1"/>
    <col min="30" max="30" width="18.375" style="42" customWidth="1"/>
    <col min="31" max="31" width="5.125" style="42" customWidth="1"/>
    <col min="32" max="32" width="18.375" style="41" customWidth="1"/>
    <col min="33" max="33" width="5.125" style="42" customWidth="1"/>
    <col min="34" max="34" width="18.375" style="41" customWidth="1"/>
    <col min="35" max="35" width="5.5" style="42" customWidth="1"/>
    <col min="36" max="36" width="18.375" style="41" customWidth="1"/>
    <col min="37" max="37" width="5.125" style="41" customWidth="1"/>
    <col min="38" max="38" width="11.875" style="42" customWidth="1"/>
    <col min="39" max="39" width="11.875" style="173" customWidth="1"/>
    <col min="40" max="41" width="18.375" style="165" customWidth="1"/>
    <col min="42" max="42" width="18.375" style="42" customWidth="1"/>
    <col min="43" max="43" width="5.125" style="42" customWidth="1"/>
    <col min="44" max="44" width="18.375" style="42" customWidth="1"/>
    <col min="45" max="45" width="5.125" style="42" customWidth="1"/>
    <col min="46" max="46" width="18.375" style="42" customWidth="1"/>
    <col min="47" max="47" width="5.125" style="42" customWidth="1"/>
    <col min="48" max="49" width="11.875" style="42" customWidth="1"/>
    <col min="50" max="50" width="50.125" style="42" customWidth="1"/>
    <col min="51" max="16384" width="9.125" style="42"/>
  </cols>
  <sheetData>
    <row r="1" spans="2:50" s="46" customFormat="1" ht="30" customHeight="1" thickBot="1">
      <c r="B1" s="230" t="s">
        <v>5</v>
      </c>
      <c r="C1" s="231"/>
      <c r="D1" s="231"/>
      <c r="E1" s="231"/>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17"/>
      <c r="AQ1" s="217"/>
      <c r="AR1" s="217"/>
      <c r="AS1" s="217"/>
      <c r="AT1" s="217"/>
      <c r="AU1" s="217"/>
      <c r="AV1" s="217"/>
      <c r="AW1" s="217"/>
      <c r="AX1" s="45"/>
    </row>
    <row r="2" spans="2:50" s="48" customFormat="1" ht="30">
      <c r="B2" s="87"/>
      <c r="C2" s="224" t="s">
        <v>6</v>
      </c>
      <c r="D2" s="225"/>
      <c r="E2" s="226"/>
      <c r="F2" s="234" t="s">
        <v>7</v>
      </c>
      <c r="G2" s="235"/>
      <c r="H2" s="235"/>
      <c r="I2" s="235"/>
      <c r="J2" s="235"/>
      <c r="K2" s="235"/>
      <c r="L2" s="235"/>
      <c r="M2" s="235"/>
      <c r="N2" s="236"/>
      <c r="O2" s="232" t="s">
        <v>8</v>
      </c>
      <c r="P2" s="245"/>
      <c r="Q2" s="245"/>
      <c r="R2" s="245"/>
      <c r="S2" s="245"/>
      <c r="T2" s="245"/>
      <c r="U2" s="245"/>
      <c r="V2" s="245"/>
      <c r="W2" s="245"/>
      <c r="X2" s="245"/>
      <c r="Y2" s="233"/>
      <c r="Z2" s="237" t="s">
        <v>9</v>
      </c>
      <c r="AA2" s="244"/>
      <c r="AB2" s="244"/>
      <c r="AC2" s="244"/>
      <c r="AD2" s="244"/>
      <c r="AE2" s="244"/>
      <c r="AF2" s="244"/>
      <c r="AG2" s="244"/>
      <c r="AH2" s="244"/>
      <c r="AI2" s="244"/>
      <c r="AJ2" s="244"/>
      <c r="AK2" s="244"/>
      <c r="AL2" s="238"/>
      <c r="AM2" s="167"/>
      <c r="AN2" s="158" t="s">
        <v>10</v>
      </c>
      <c r="AO2" s="158" t="s">
        <v>11</v>
      </c>
      <c r="AP2" s="241" t="s">
        <v>12</v>
      </c>
      <c r="AQ2" s="242"/>
      <c r="AR2" s="242"/>
      <c r="AS2" s="242"/>
      <c r="AT2" s="242"/>
      <c r="AU2" s="242"/>
      <c r="AV2" s="243"/>
      <c r="AW2" s="218"/>
      <c r="AX2" s="221" t="s">
        <v>13</v>
      </c>
    </row>
    <row r="3" spans="2:50" s="51" customFormat="1" ht="30" customHeight="1">
      <c r="B3" s="87" t="s">
        <v>14</v>
      </c>
      <c r="C3" s="93" t="s">
        <v>15</v>
      </c>
      <c r="D3" s="93" t="s">
        <v>16</v>
      </c>
      <c r="E3" s="93" t="s">
        <v>17</v>
      </c>
      <c r="F3" s="234" t="s">
        <v>18</v>
      </c>
      <c r="G3" s="236"/>
      <c r="H3" s="239" t="s">
        <v>19</v>
      </c>
      <c r="I3" s="240"/>
      <c r="J3" s="239" t="s">
        <v>20</v>
      </c>
      <c r="K3" s="240"/>
      <c r="L3" s="239" t="s">
        <v>21</v>
      </c>
      <c r="M3" s="240"/>
      <c r="N3" s="83" t="s">
        <v>22</v>
      </c>
      <c r="O3" s="232" t="s">
        <v>23</v>
      </c>
      <c r="P3" s="233"/>
      <c r="Q3" s="232" t="s">
        <v>24</v>
      </c>
      <c r="R3" s="233"/>
      <c r="S3" s="232" t="s">
        <v>25</v>
      </c>
      <c r="T3" s="233"/>
      <c r="U3" s="232" t="s">
        <v>26</v>
      </c>
      <c r="V3" s="233"/>
      <c r="W3" s="85" t="s">
        <v>27</v>
      </c>
      <c r="X3" s="84"/>
      <c r="Y3" s="88" t="s">
        <v>28</v>
      </c>
      <c r="Z3" s="237" t="s">
        <v>29</v>
      </c>
      <c r="AA3" s="238"/>
      <c r="AB3" s="237" t="s">
        <v>30</v>
      </c>
      <c r="AC3" s="238"/>
      <c r="AD3" s="47" t="s">
        <v>31</v>
      </c>
      <c r="AE3" s="47"/>
      <c r="AF3" s="237" t="s">
        <v>32</v>
      </c>
      <c r="AG3" s="238"/>
      <c r="AH3" s="237" t="s">
        <v>33</v>
      </c>
      <c r="AI3" s="238"/>
      <c r="AJ3" s="47" t="s">
        <v>34</v>
      </c>
      <c r="AK3" s="47"/>
      <c r="AL3" s="86" t="s">
        <v>35</v>
      </c>
      <c r="AM3" s="168" t="s">
        <v>36</v>
      </c>
      <c r="AN3" s="159"/>
      <c r="AO3" s="159"/>
      <c r="AP3" s="241" t="s">
        <v>37</v>
      </c>
      <c r="AQ3" s="243"/>
      <c r="AR3" s="241" t="s">
        <v>38</v>
      </c>
      <c r="AS3" s="243"/>
      <c r="AT3" s="241" t="s">
        <v>39</v>
      </c>
      <c r="AU3" s="243"/>
      <c r="AV3" s="86" t="s">
        <v>40</v>
      </c>
      <c r="AW3" s="86" t="s">
        <v>41</v>
      </c>
      <c r="AX3" s="222"/>
    </row>
    <row r="4" spans="2:50" s="51" customFormat="1" ht="39" hidden="1" customHeight="1">
      <c r="B4" s="87"/>
      <c r="C4" s="93"/>
      <c r="D4" s="93"/>
      <c r="E4" s="94"/>
      <c r="F4" s="95"/>
      <c r="G4" s="96"/>
      <c r="H4" s="97"/>
      <c r="I4" s="98"/>
      <c r="J4" s="97"/>
      <c r="K4" s="98"/>
      <c r="L4" s="97"/>
      <c r="M4" s="98"/>
      <c r="N4" s="99"/>
      <c r="O4" s="100"/>
      <c r="P4" s="101"/>
      <c r="Q4" s="49"/>
      <c r="R4" s="101"/>
      <c r="S4" s="49"/>
      <c r="T4" s="101"/>
      <c r="U4" s="49"/>
      <c r="V4" s="100"/>
      <c r="W4" s="85"/>
      <c r="X4" s="85"/>
      <c r="Y4" s="105"/>
      <c r="Z4" s="102"/>
      <c r="AA4" s="103"/>
      <c r="AB4" s="102"/>
      <c r="AC4" s="103"/>
      <c r="AD4" s="106"/>
      <c r="AE4" s="106"/>
      <c r="AF4" s="102"/>
      <c r="AG4" s="103"/>
      <c r="AH4" s="102"/>
      <c r="AI4" s="103"/>
      <c r="AJ4" s="109"/>
      <c r="AK4" s="106"/>
      <c r="AL4" s="105"/>
      <c r="AM4" s="169"/>
      <c r="AN4" s="159"/>
      <c r="AO4" s="159"/>
      <c r="AP4" s="107"/>
      <c r="AQ4" s="108"/>
      <c r="AR4" s="107"/>
      <c r="AS4" s="108"/>
      <c r="AT4" s="107"/>
      <c r="AU4" s="108"/>
      <c r="AV4" s="105"/>
      <c r="AW4" s="105"/>
      <c r="AX4" s="222"/>
    </row>
    <row r="5" spans="2:50" s="51" customFormat="1" ht="39" hidden="1" customHeight="1">
      <c r="B5" s="87"/>
      <c r="C5" s="93"/>
      <c r="D5" s="93"/>
      <c r="E5" s="94"/>
      <c r="F5" s="95"/>
      <c r="G5" s="96"/>
      <c r="H5" s="97"/>
      <c r="I5" s="98"/>
      <c r="J5" s="97"/>
      <c r="K5" s="98"/>
      <c r="L5" s="97"/>
      <c r="M5" s="98"/>
      <c r="N5" s="99"/>
      <c r="O5" s="100"/>
      <c r="P5" s="101"/>
      <c r="Q5" s="49"/>
      <c r="R5" s="101"/>
      <c r="S5" s="49"/>
      <c r="T5" s="101"/>
      <c r="U5" s="49"/>
      <c r="V5" s="100"/>
      <c r="W5" s="85"/>
      <c r="X5" s="85"/>
      <c r="Y5" s="166"/>
      <c r="Z5" s="102"/>
      <c r="AA5" s="103"/>
      <c r="AB5" s="102"/>
      <c r="AC5" s="103"/>
      <c r="AD5" s="106"/>
      <c r="AE5" s="106"/>
      <c r="AF5" s="102"/>
      <c r="AG5" s="103"/>
      <c r="AH5" s="102"/>
      <c r="AI5" s="103"/>
      <c r="AJ5" s="109"/>
      <c r="AK5" s="106"/>
      <c r="AL5" s="105"/>
      <c r="AM5" s="169"/>
      <c r="AN5" s="159"/>
      <c r="AO5" s="159"/>
      <c r="AP5" s="107"/>
      <c r="AQ5" s="108"/>
      <c r="AR5" s="107"/>
      <c r="AS5" s="108"/>
      <c r="AT5" s="107"/>
      <c r="AU5" s="108"/>
      <c r="AV5" s="105"/>
      <c r="AW5" s="105"/>
      <c r="AX5" s="222"/>
    </row>
    <row r="6" spans="2:50" s="124" customFormat="1" ht="26.1" hidden="1" customHeight="1">
      <c r="B6" s="92" t="s">
        <v>42</v>
      </c>
      <c r="C6" s="92"/>
      <c r="D6" s="92"/>
      <c r="E6" s="104"/>
      <c r="F6" s="111" t="s">
        <v>43</v>
      </c>
      <c r="G6" s="112">
        <v>1</v>
      </c>
      <c r="H6" s="113" t="s">
        <v>44</v>
      </c>
      <c r="I6" s="114">
        <v>1</v>
      </c>
      <c r="J6" s="113" t="s">
        <v>45</v>
      </c>
      <c r="K6" s="114">
        <v>1</v>
      </c>
      <c r="L6" s="113" t="s">
        <v>46</v>
      </c>
      <c r="M6" s="114">
        <v>1</v>
      </c>
      <c r="N6" s="89"/>
      <c r="O6" s="115" t="s">
        <v>47</v>
      </c>
      <c r="P6" s="116">
        <v>1</v>
      </c>
      <c r="Q6" s="117" t="s">
        <v>48</v>
      </c>
      <c r="R6" s="116">
        <v>1</v>
      </c>
      <c r="S6" s="117" t="s">
        <v>49</v>
      </c>
      <c r="T6" s="116">
        <v>1</v>
      </c>
      <c r="U6" s="117" t="s">
        <v>50</v>
      </c>
      <c r="V6" s="115">
        <v>1</v>
      </c>
      <c r="W6" s="118" t="s">
        <v>51</v>
      </c>
      <c r="X6" s="115">
        <v>1</v>
      </c>
      <c r="Y6" s="227"/>
      <c r="Z6" s="119" t="s">
        <v>52</v>
      </c>
      <c r="AA6" s="52">
        <v>1</v>
      </c>
      <c r="AB6" s="119" t="s">
        <v>53</v>
      </c>
      <c r="AC6" s="120">
        <v>1</v>
      </c>
      <c r="AD6" s="119" t="s">
        <v>54</v>
      </c>
      <c r="AE6" s="214">
        <v>1</v>
      </c>
      <c r="AF6" s="119" t="s">
        <v>55</v>
      </c>
      <c r="AG6" s="120">
        <v>1</v>
      </c>
      <c r="AH6" s="119" t="s">
        <v>56</v>
      </c>
      <c r="AI6" s="120">
        <v>1</v>
      </c>
      <c r="AJ6" s="119" t="s">
        <v>57</v>
      </c>
      <c r="AK6" s="121">
        <v>1</v>
      </c>
      <c r="AL6" s="105"/>
      <c r="AM6" s="169"/>
      <c r="AN6" s="159"/>
      <c r="AO6" s="159" t="s">
        <v>58</v>
      </c>
      <c r="AP6" s="122" t="s">
        <v>59</v>
      </c>
      <c r="AQ6" s="123">
        <v>1</v>
      </c>
      <c r="AR6" s="122" t="s">
        <v>60</v>
      </c>
      <c r="AS6" s="123">
        <v>1</v>
      </c>
      <c r="AT6" s="122" t="s">
        <v>61</v>
      </c>
      <c r="AU6" s="123">
        <v>1</v>
      </c>
      <c r="AV6" s="105"/>
      <c r="AW6" s="105"/>
      <c r="AX6" s="222"/>
    </row>
    <row r="7" spans="2:50" s="124" customFormat="1" ht="26.1" hidden="1" customHeight="1">
      <c r="B7" s="92"/>
      <c r="C7" s="92"/>
      <c r="D7" s="92"/>
      <c r="E7" s="104"/>
      <c r="F7" s="125" t="s">
        <v>62</v>
      </c>
      <c r="G7" s="126">
        <v>2</v>
      </c>
      <c r="H7" s="127" t="s">
        <v>63</v>
      </c>
      <c r="I7" s="128">
        <v>2</v>
      </c>
      <c r="J7" s="127" t="s">
        <v>64</v>
      </c>
      <c r="K7" s="128">
        <v>2</v>
      </c>
      <c r="L7" s="127" t="s">
        <v>65</v>
      </c>
      <c r="M7" s="128">
        <v>2</v>
      </c>
      <c r="N7" s="90"/>
      <c r="O7" s="129" t="s">
        <v>66</v>
      </c>
      <c r="P7" s="130">
        <v>2</v>
      </c>
      <c r="Q7" s="131" t="s">
        <v>67</v>
      </c>
      <c r="R7" s="130">
        <v>2</v>
      </c>
      <c r="S7" s="131" t="s">
        <v>68</v>
      </c>
      <c r="T7" s="130">
        <v>2</v>
      </c>
      <c r="U7" s="131" t="s">
        <v>69</v>
      </c>
      <c r="V7" s="129">
        <v>2</v>
      </c>
      <c r="W7" s="132" t="s">
        <v>70</v>
      </c>
      <c r="X7" s="129">
        <v>2</v>
      </c>
      <c r="Y7" s="228"/>
      <c r="Z7" s="133" t="s">
        <v>71</v>
      </c>
      <c r="AA7" s="54">
        <v>2</v>
      </c>
      <c r="AB7" s="133" t="s">
        <v>72</v>
      </c>
      <c r="AC7" s="134">
        <v>2</v>
      </c>
      <c r="AD7" s="133" t="s">
        <v>73</v>
      </c>
      <c r="AE7" s="215">
        <v>2</v>
      </c>
      <c r="AF7" s="133" t="s">
        <v>74</v>
      </c>
      <c r="AG7" s="134">
        <v>2</v>
      </c>
      <c r="AH7" s="133" t="s">
        <v>75</v>
      </c>
      <c r="AI7" s="134">
        <v>2</v>
      </c>
      <c r="AJ7" s="133" t="s">
        <v>76</v>
      </c>
      <c r="AK7" s="135">
        <v>2</v>
      </c>
      <c r="AL7" s="105"/>
      <c r="AM7" s="170"/>
      <c r="AN7" s="159"/>
      <c r="AO7" s="159" t="s">
        <v>77</v>
      </c>
      <c r="AP7" s="136" t="s">
        <v>78</v>
      </c>
      <c r="AQ7" s="137">
        <v>2</v>
      </c>
      <c r="AR7" s="136" t="s">
        <v>79</v>
      </c>
      <c r="AS7" s="137">
        <v>2</v>
      </c>
      <c r="AT7" s="136" t="s">
        <v>80</v>
      </c>
      <c r="AU7" s="137">
        <v>2</v>
      </c>
      <c r="AV7" s="105"/>
      <c r="AW7" s="105"/>
      <c r="AX7" s="222"/>
    </row>
    <row r="8" spans="2:50" s="124" customFormat="1" ht="26.1" hidden="1" customHeight="1">
      <c r="B8" s="92"/>
      <c r="C8" s="92"/>
      <c r="D8" s="92"/>
      <c r="E8" s="104"/>
      <c r="F8" s="125" t="s">
        <v>81</v>
      </c>
      <c r="G8" s="126">
        <v>3</v>
      </c>
      <c r="H8" s="127" t="s">
        <v>82</v>
      </c>
      <c r="I8" s="128">
        <v>3</v>
      </c>
      <c r="J8" s="127" t="s">
        <v>83</v>
      </c>
      <c r="K8" s="128">
        <v>3</v>
      </c>
      <c r="L8" s="127" t="s">
        <v>84</v>
      </c>
      <c r="M8" s="128">
        <v>3</v>
      </c>
      <c r="N8" s="90"/>
      <c r="O8" s="129" t="s">
        <v>85</v>
      </c>
      <c r="P8" s="130">
        <v>3</v>
      </c>
      <c r="Q8" s="131" t="s">
        <v>86</v>
      </c>
      <c r="R8" s="130">
        <v>3</v>
      </c>
      <c r="S8" s="131" t="s">
        <v>87</v>
      </c>
      <c r="T8" s="130">
        <v>3</v>
      </c>
      <c r="U8" s="131" t="s">
        <v>88</v>
      </c>
      <c r="V8" s="129">
        <v>3</v>
      </c>
      <c r="W8" s="132" t="s">
        <v>89</v>
      </c>
      <c r="X8" s="129">
        <v>3</v>
      </c>
      <c r="Y8" s="228"/>
      <c r="Z8" s="133" t="s">
        <v>90</v>
      </c>
      <c r="AA8" s="54">
        <v>3</v>
      </c>
      <c r="AB8" s="133" t="s">
        <v>91</v>
      </c>
      <c r="AC8" s="134">
        <v>3</v>
      </c>
      <c r="AD8" s="133" t="s">
        <v>92</v>
      </c>
      <c r="AE8" s="215">
        <v>3</v>
      </c>
      <c r="AF8" s="133" t="s">
        <v>93</v>
      </c>
      <c r="AG8" s="134">
        <v>3</v>
      </c>
      <c r="AH8" s="133" t="s">
        <v>94</v>
      </c>
      <c r="AI8" s="134">
        <v>3</v>
      </c>
      <c r="AJ8" s="133" t="s">
        <v>95</v>
      </c>
      <c r="AK8" s="135">
        <v>3</v>
      </c>
      <c r="AL8" s="105"/>
      <c r="AM8" s="170"/>
      <c r="AN8" s="159"/>
      <c r="AO8" s="159" t="s">
        <v>96</v>
      </c>
      <c r="AP8" s="136" t="s">
        <v>97</v>
      </c>
      <c r="AQ8" s="137">
        <v>3</v>
      </c>
      <c r="AR8" s="136" t="s">
        <v>98</v>
      </c>
      <c r="AS8" s="137">
        <v>3</v>
      </c>
      <c r="AT8" s="136" t="s">
        <v>99</v>
      </c>
      <c r="AU8" s="137">
        <v>3</v>
      </c>
      <c r="AV8" s="105"/>
      <c r="AW8" s="105"/>
      <c r="AX8" s="222"/>
    </row>
    <row r="9" spans="2:50" s="124" customFormat="1" ht="26.1" hidden="1" customHeight="1">
      <c r="B9" s="92"/>
      <c r="C9" s="92"/>
      <c r="D9" s="92"/>
      <c r="E9" s="104"/>
      <c r="F9" s="125" t="s">
        <v>100</v>
      </c>
      <c r="G9" s="126">
        <v>4</v>
      </c>
      <c r="H9" s="127" t="s">
        <v>101</v>
      </c>
      <c r="I9" s="128">
        <v>4</v>
      </c>
      <c r="J9" s="127" t="s">
        <v>102</v>
      </c>
      <c r="K9" s="128">
        <v>4</v>
      </c>
      <c r="L9" s="127" t="s">
        <v>103</v>
      </c>
      <c r="M9" s="128">
        <v>4</v>
      </c>
      <c r="N9" s="90"/>
      <c r="O9" s="129" t="s">
        <v>104</v>
      </c>
      <c r="P9" s="130">
        <v>4</v>
      </c>
      <c r="Q9" s="131" t="s">
        <v>105</v>
      </c>
      <c r="R9" s="130">
        <v>4</v>
      </c>
      <c r="S9" s="131"/>
      <c r="T9" s="130">
        <v>4</v>
      </c>
      <c r="U9" s="131" t="s">
        <v>106</v>
      </c>
      <c r="V9" s="129">
        <v>4</v>
      </c>
      <c r="W9" s="132" t="s">
        <v>107</v>
      </c>
      <c r="X9" s="129">
        <v>4</v>
      </c>
      <c r="Y9" s="228"/>
      <c r="Z9" s="133" t="s">
        <v>108</v>
      </c>
      <c r="AA9" s="54">
        <v>4</v>
      </c>
      <c r="AB9" s="133" t="s">
        <v>109</v>
      </c>
      <c r="AC9" s="134">
        <v>4</v>
      </c>
      <c r="AD9" s="133" t="s">
        <v>110</v>
      </c>
      <c r="AE9" s="215">
        <v>4</v>
      </c>
      <c r="AF9" s="133" t="s">
        <v>111</v>
      </c>
      <c r="AG9" s="134">
        <v>4</v>
      </c>
      <c r="AH9" s="133" t="s">
        <v>112</v>
      </c>
      <c r="AI9" s="134">
        <v>4</v>
      </c>
      <c r="AJ9" s="133" t="s">
        <v>113</v>
      </c>
      <c r="AK9" s="135">
        <v>4</v>
      </c>
      <c r="AL9" s="105"/>
      <c r="AM9" s="170"/>
      <c r="AN9" s="159"/>
      <c r="AO9" s="159" t="s">
        <v>114</v>
      </c>
      <c r="AP9" s="136" t="s">
        <v>115</v>
      </c>
      <c r="AQ9" s="137">
        <v>4</v>
      </c>
      <c r="AR9" s="136" t="s">
        <v>116</v>
      </c>
      <c r="AS9" s="137">
        <v>4</v>
      </c>
      <c r="AT9" s="136" t="s">
        <v>117</v>
      </c>
      <c r="AU9" s="137">
        <v>4</v>
      </c>
      <c r="AV9" s="105"/>
      <c r="AW9" s="105"/>
      <c r="AX9" s="222"/>
    </row>
    <row r="10" spans="2:50" s="124" customFormat="1" ht="26.1" hidden="1" customHeight="1" thickBot="1">
      <c r="B10" s="92"/>
      <c r="C10" s="92"/>
      <c r="D10" s="92"/>
      <c r="E10" s="104"/>
      <c r="F10" s="138" t="s">
        <v>118</v>
      </c>
      <c r="G10" s="139">
        <v>5</v>
      </c>
      <c r="H10" s="140" t="s">
        <v>119</v>
      </c>
      <c r="I10" s="141">
        <v>5</v>
      </c>
      <c r="J10" s="140" t="s">
        <v>120</v>
      </c>
      <c r="K10" s="141">
        <v>5</v>
      </c>
      <c r="L10" s="140" t="s">
        <v>121</v>
      </c>
      <c r="M10" s="141">
        <v>5</v>
      </c>
      <c r="N10" s="91"/>
      <c r="O10" s="142" t="s">
        <v>122</v>
      </c>
      <c r="P10" s="143">
        <v>5</v>
      </c>
      <c r="Q10" s="144" t="s">
        <v>123</v>
      </c>
      <c r="R10" s="143">
        <v>5</v>
      </c>
      <c r="S10" s="131"/>
      <c r="T10" s="143">
        <v>5</v>
      </c>
      <c r="U10" s="144" t="s">
        <v>124</v>
      </c>
      <c r="V10" s="142">
        <v>5</v>
      </c>
      <c r="W10" s="145" t="s">
        <v>125</v>
      </c>
      <c r="X10" s="142">
        <v>5</v>
      </c>
      <c r="Y10" s="229"/>
      <c r="Z10" s="146" t="s">
        <v>126</v>
      </c>
      <c r="AA10" s="55">
        <v>5</v>
      </c>
      <c r="AB10" s="146" t="s">
        <v>127</v>
      </c>
      <c r="AC10" s="147">
        <v>5</v>
      </c>
      <c r="AD10" s="146" t="s">
        <v>128</v>
      </c>
      <c r="AE10" s="216">
        <v>5</v>
      </c>
      <c r="AF10" s="146" t="s">
        <v>129</v>
      </c>
      <c r="AG10" s="147">
        <v>5</v>
      </c>
      <c r="AH10" s="146" t="s">
        <v>130</v>
      </c>
      <c r="AI10" s="147">
        <v>5</v>
      </c>
      <c r="AJ10" s="146" t="s">
        <v>131</v>
      </c>
      <c r="AK10" s="148">
        <v>5</v>
      </c>
      <c r="AL10" s="105"/>
      <c r="AM10" s="171"/>
      <c r="AN10" s="159"/>
      <c r="AO10" s="159" t="s">
        <v>132</v>
      </c>
      <c r="AP10" s="149" t="s">
        <v>133</v>
      </c>
      <c r="AQ10" s="150">
        <v>5</v>
      </c>
      <c r="AR10" s="149" t="s">
        <v>134</v>
      </c>
      <c r="AS10" s="150">
        <v>5</v>
      </c>
      <c r="AT10" s="149" t="s">
        <v>135</v>
      </c>
      <c r="AU10" s="150">
        <v>5</v>
      </c>
      <c r="AV10" s="105"/>
      <c r="AW10" s="105"/>
      <c r="AX10" s="223"/>
    </row>
    <row r="11" spans="2:50" s="53" customFormat="1" ht="15" customHeight="1">
      <c r="B11" s="56"/>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172"/>
      <c r="AN11" s="160"/>
      <c r="AO11" s="161"/>
      <c r="AP11" s="57"/>
      <c r="AQ11" s="57"/>
      <c r="AR11" s="57"/>
      <c r="AS11" s="57"/>
      <c r="AT11" s="57"/>
      <c r="AU11" s="57"/>
      <c r="AV11" s="57"/>
      <c r="AW11" s="57"/>
      <c r="AX11" s="50"/>
    </row>
    <row r="12" spans="2:50" s="58" customFormat="1">
      <c r="B12" s="62"/>
      <c r="C12" s="61"/>
      <c r="D12" s="61"/>
      <c r="E12" s="61"/>
      <c r="F12" s="61"/>
      <c r="G12" s="59" t="str">
        <f t="shared" ref="G12:G26" si="0">IF(F12=$F$5,"0",IF(F12=$F$6,"1",IF(F12=$F$7,"2",IF(F12=$F$8,"3",IF(F12=$F$9,"4",IF(F12=$F$10,"5"))))))</f>
        <v>0</v>
      </c>
      <c r="H12" s="59"/>
      <c r="I12" s="59" t="str">
        <f t="shared" ref="I12:I26" si="1">IF(H12=$H$5,"0",IF(H12=$H$6,"1",IF(H12=$H$7,"2",IF(H12=$H$8,"3",IF(H12=$H$9,"4",IF(H12=$H$10,"5"))))))</f>
        <v>0</v>
      </c>
      <c r="J12" s="59"/>
      <c r="K12" s="59" t="str">
        <f t="shared" ref="K12:K26" si="2">IF(J12=$J$5,"0",IF(J12=$J$6,"1",IF(J12=$J$7,"2",IF(J12=$J$8,"3",IF(J12=$J$9,"4",IF(J12=$J$10,"5"))))))</f>
        <v>0</v>
      </c>
      <c r="L12" s="59"/>
      <c r="M12" s="59" t="str">
        <f t="shared" ref="M12:M26" si="3">IF(L12=$L$5,"0",IF(L12=$L$6,"1",IF(L12=$L$7,"2",IF(L12=$L$8,"3",IF(L12=$L$9,"4",IF(L12=$L$10,"5"))))))</f>
        <v>0</v>
      </c>
      <c r="N12" s="40">
        <f>(G12+I12+K12+M12)/4</f>
        <v>0</v>
      </c>
      <c r="O12" s="59"/>
      <c r="P12" s="59" t="str">
        <f t="shared" ref="P12:P26" si="4">IF(O12=$O$5,"0",IF(O12=$O$6,"1",IF(O12=$O$7,"2",IF(O12=$O$8,"3",IF(O12=$O$9,"4",IF(O12=$O$10,"5"))))))</f>
        <v>0</v>
      </c>
      <c r="Q12" s="59"/>
      <c r="R12" s="59" t="str">
        <f t="shared" ref="R12:R26" si="5">IF(Q12=$Q$5,"0",IF(Q12=$Q$6,"1",IF(Q12=$Q$7,"2",IF(Q12=$Q$8,"3",IF(Q12=$Q$9,"4",IF(Q12=$Q$10,"5"))))))</f>
        <v>0</v>
      </c>
      <c r="S12" s="59"/>
      <c r="T12" s="59" t="str">
        <f t="shared" ref="T12:T26" si="6">IF(S12=$S$5,"0",IF(S12=$S$6,"1",IF(S12=$S$7,"2",IF(S12=$S$8,"3",IF(S12=$S$9,"4",IF(S12=$S$10,"5"))))))</f>
        <v>0</v>
      </c>
      <c r="U12" s="59"/>
      <c r="V12" s="59" t="str">
        <f t="shared" ref="V12:V26" si="7">IF(U12=$U$5,"0",IF(U12=$U$6,"1",IF(U12=$U$7,"2",IF(U12=$U$8,"3",IF(U12=$U$9,"4",IF(U12=$U$10,"5"))))))</f>
        <v>0</v>
      </c>
      <c r="W12" s="59"/>
      <c r="X12" s="59" t="str">
        <f t="shared" ref="X12:X26" si="8">IF(W12=$W$5,"0",IF(W12=$W$6,"1",IF(W12=$W$7,"2",IF(W12=$W$8,"3",IF(W12=$W$9,"4",IF(W12=$W$10,"5"))))))</f>
        <v>0</v>
      </c>
      <c r="Y12" s="59">
        <f>(P12+R12+T12+V12+X12)/5</f>
        <v>0</v>
      </c>
      <c r="Z12" s="59"/>
      <c r="AA12" s="59" t="str">
        <f t="shared" ref="AA12:AA26" si="9">IF(Z12=$Z$5,"0",IF(Z12=$Z$6,"1",IF(Z12=$Z$7,"2",IF(Z12=$Z$8,"3",IF(Z12=$Z$9,"4",IF(Z12=$Z$10,"5"))))))</f>
        <v>0</v>
      </c>
      <c r="AB12" s="59"/>
      <c r="AC12" s="59" t="str">
        <f t="shared" ref="AC12:AC26" si="10">IF(AB12=$AB$5,"0",IF(AB12=$AB$6,"1",IF(AB12=$AB$7,"2",IF(AB12=$AB$8,"3",IF(AB12=$AB$9,"4",IF(AB12=$AB$10,"5"))))))</f>
        <v>0</v>
      </c>
      <c r="AD12" s="59"/>
      <c r="AE12" s="59" t="str">
        <f t="shared" ref="AE12:AE26" si="11">IF(AD12=$AD$5,"0",IF(AD12=$AD$6,"1",IF(AD12=$AD$7,"2",IF(AD12=$AD$8,"3",IF(AD12=$AD$9,"4",IF(AD12=$AD$10,"5"))))))</f>
        <v>0</v>
      </c>
      <c r="AF12" s="59"/>
      <c r="AG12" s="59" t="str">
        <f t="shared" ref="AG12:AG26" si="12">IF(AF12=$AF$5,"0",IF(AF12=$AF$6,"1",IF(AF12=$AF$7,"2",IF(AF12=$AF$8,"3",IF(AF12=$AF$9,"4",IF(AF12=$AF$10,"5"))))))</f>
        <v>0</v>
      </c>
      <c r="AH12" s="59"/>
      <c r="AI12" s="59" t="str">
        <f t="shared" ref="AI12:AI26" si="13">IF(AH12=$AH$5,"0",IF(AH12=$AH$6,"1",IF(AH12=$AH$7,"2",IF(AH12=$AH$8,"3",IF(AH12=$AH$9,"4",IF(AH12=$AH$10,"5"))))))</f>
        <v>0</v>
      </c>
      <c r="AJ12" s="59"/>
      <c r="AK12" s="59" t="str">
        <f t="shared" ref="AK12:AK26" si="14">IF(AJ12=$AJ$5,"0",IF(AJ12=$AJ$6,"1",IF(AJ12=$AJ$7,"2",IF(AJ12=$AJ$8,"3",IF(AJ12=$AJ$9,"4",IF(AJ12=$AJ$10,"5"))))))</f>
        <v>0</v>
      </c>
      <c r="AL12" s="59">
        <f t="shared" ref="AL12:AL26" si="15">(AA12+AC12+AE12+AG12+AI12+AK12)/6</f>
        <v>0</v>
      </c>
      <c r="AM12" s="40" t="e">
        <f>Y12/AL12</f>
        <v>#DIV/0!</v>
      </c>
      <c r="AN12" s="162" t="e">
        <f t="shared" ref="AN12:AN26" si="16">N12*Y12/AL12</f>
        <v>#DIV/0!</v>
      </c>
      <c r="AO12" s="219" t="e">
        <f>IF(AND(AN12&gt;20,AN12&lt;=25),"EXTREMELY HIGH",IF(AND(AN12&gt;15,AN12&lt;=20),"HIGH",IF(AND(AN12&gt;10,AN12&lt;=15),"TOLERABLE",IF(AND(AN12&gt;5,AN12&lt;=10),"LOW",IF(AN12&lt;=5,"NEGLIGIBLE",0)))))</f>
        <v>#DIV/0!</v>
      </c>
      <c r="AP12" s="59"/>
      <c r="AQ12" s="59" t="str">
        <f>IF(AP12=$AP$5,"0",IF(AP12=$AP$6,"1",IF(AP12=$AP$7,"2",IF(AP12=$AP$8,"3",IF(AP12=$AP$9,"4",IF(AP12=$AP$10,"5"))))))</f>
        <v>0</v>
      </c>
      <c r="AR12" s="59"/>
      <c r="AS12" s="59" t="str">
        <f>IF(AR12=$AR$5,"0",IF(AR12=$AR$6,"1",IF(AR12=$AR$7,"2",IF(AR12=$AR$8,"3",IF(AR12=$AR$9,"4",IF(AR12=$AR$10,"5"))))))</f>
        <v>0</v>
      </c>
      <c r="AT12" s="59"/>
      <c r="AU12" s="59" t="str">
        <f>IF(AT12=$AT$5,"0",IF(AT12=$AT$6,"1",IF(AT12=$AT$7,"2",IF(AT12=$AT$8,"3",IF(AT12=$AT$9,"4",IF(AT12=$AT$10,"5"))))))</f>
        <v>0</v>
      </c>
      <c r="AV12" s="40">
        <f t="shared" ref="AV12:AV26" si="17">(AQ12+AS12+AU12)/3</f>
        <v>0</v>
      </c>
      <c r="AW12" s="220" t="str">
        <f>IF(AV12&gt;=3.3,"HIGH",IF(AV12&gt;=1.6,"MEDIUM",IF(AV12&gt;=0,"LOW",0)))</f>
        <v>LOW</v>
      </c>
      <c r="AX12" s="60"/>
    </row>
    <row r="13" spans="2:50" s="58" customFormat="1">
      <c r="B13" s="62"/>
      <c r="C13" s="61"/>
      <c r="D13" s="61"/>
      <c r="E13" s="61"/>
      <c r="F13" s="61"/>
      <c r="G13" s="59" t="str">
        <f t="shared" si="0"/>
        <v>0</v>
      </c>
      <c r="H13" s="59"/>
      <c r="I13" s="59" t="str">
        <f t="shared" si="1"/>
        <v>0</v>
      </c>
      <c r="J13" s="59"/>
      <c r="K13" s="59" t="str">
        <f t="shared" si="2"/>
        <v>0</v>
      </c>
      <c r="L13" s="59"/>
      <c r="M13" s="59" t="str">
        <f t="shared" si="3"/>
        <v>0</v>
      </c>
      <c r="N13" s="40">
        <f t="shared" ref="N13:N26" si="18">(G13+I13+K13+M13)/4</f>
        <v>0</v>
      </c>
      <c r="O13" s="59"/>
      <c r="P13" s="59" t="str">
        <f t="shared" si="4"/>
        <v>0</v>
      </c>
      <c r="Q13" s="59"/>
      <c r="R13" s="59" t="str">
        <f t="shared" si="5"/>
        <v>0</v>
      </c>
      <c r="S13" s="59"/>
      <c r="T13" s="59" t="str">
        <f t="shared" si="6"/>
        <v>0</v>
      </c>
      <c r="U13" s="59"/>
      <c r="V13" s="59" t="str">
        <f t="shared" si="7"/>
        <v>0</v>
      </c>
      <c r="W13" s="59"/>
      <c r="X13" s="59" t="str">
        <f t="shared" si="8"/>
        <v>0</v>
      </c>
      <c r="Y13" s="59">
        <f t="shared" ref="Y13:Y26" si="19">(P13+R13+T13+V13+X13)/5</f>
        <v>0</v>
      </c>
      <c r="Z13" s="59"/>
      <c r="AA13" s="59" t="str">
        <f t="shared" si="9"/>
        <v>0</v>
      </c>
      <c r="AB13" s="59"/>
      <c r="AC13" s="59" t="str">
        <f t="shared" si="10"/>
        <v>0</v>
      </c>
      <c r="AD13" s="59"/>
      <c r="AE13" s="59" t="str">
        <f t="shared" si="11"/>
        <v>0</v>
      </c>
      <c r="AF13" s="59"/>
      <c r="AG13" s="59" t="str">
        <f t="shared" si="12"/>
        <v>0</v>
      </c>
      <c r="AH13" s="59"/>
      <c r="AI13" s="59" t="str">
        <f t="shared" si="13"/>
        <v>0</v>
      </c>
      <c r="AJ13" s="59"/>
      <c r="AK13" s="59" t="str">
        <f t="shared" si="14"/>
        <v>0</v>
      </c>
      <c r="AL13" s="59">
        <f t="shared" si="15"/>
        <v>0</v>
      </c>
      <c r="AM13" s="40" t="e">
        <f t="shared" ref="AM13:AM26" si="20">Y13/AL13</f>
        <v>#DIV/0!</v>
      </c>
      <c r="AN13" s="162" t="e">
        <f t="shared" si="16"/>
        <v>#DIV/0!</v>
      </c>
      <c r="AO13" s="219" t="e">
        <f t="shared" ref="AO13:AO14" si="21">IF(AND(AN13&gt;20,AN13&lt;=25),"EXTREMELY HIGH",IF(AND(AN13&gt;15,AN13&lt;=20),"HIGH",IF(AND(AN13&gt;10,AN13&lt;=15),"TOLERABLE",IF(AND(AN13&gt;5,AN13&lt;=10),"LOW",IF(AN13&lt;=5,"NEGLIGIBLE",0)))))</f>
        <v>#DIV/0!</v>
      </c>
      <c r="AP13" s="59"/>
      <c r="AQ13" s="59" t="str">
        <f t="shared" ref="AQ13:AQ26" si="22">IF(AP13=$AP$5,"0",IF(AP13=$AP$6,"1",IF(AP13=$AP$7,"2",IF(AP13=$AP$8,"3",IF(AP13=$AP$9,"4",IF(AP13=$AP$10,"5"))))))</f>
        <v>0</v>
      </c>
      <c r="AR13" s="59"/>
      <c r="AS13" s="59" t="str">
        <f t="shared" ref="AS13:AS26" si="23">IF(AR13=$AR$5,"0",IF(AR13=$AR$6,"1",IF(AR13=$AR$7,"2",IF(AR13=$AR$8,"3",IF(AR13=$AR$9,"4",IF(AR13=$AR$10,"5"))))))</f>
        <v>0</v>
      </c>
      <c r="AT13" s="59"/>
      <c r="AU13" s="59" t="str">
        <f t="shared" ref="AU13:AU26" si="24">IF(AT13=$AT$5,"0",IF(AT13=$AT$6,"1",IF(AT13=$AT$7,"2",IF(AT13=$AT$8,"3",IF(AT13=$AT$9,"4",IF(AT13=$AT$10,"5"))))))</f>
        <v>0</v>
      </c>
      <c r="AV13" s="40">
        <f t="shared" si="17"/>
        <v>0</v>
      </c>
      <c r="AW13" s="220" t="str">
        <f t="shared" ref="AW13:AW26" si="25">IF(AV13&gt;=3.3,"HIGH",IF(AV13&gt;=1.6,"MEDIUM",IF(AV13&gt;=0,"LOW",0)))</f>
        <v>LOW</v>
      </c>
      <c r="AX13" s="60"/>
    </row>
    <row r="14" spans="2:50" s="58" customFormat="1">
      <c r="B14" s="62"/>
      <c r="C14" s="61"/>
      <c r="D14" s="61"/>
      <c r="E14" s="61"/>
      <c r="F14" s="61"/>
      <c r="G14" s="59" t="str">
        <f t="shared" si="0"/>
        <v>0</v>
      </c>
      <c r="H14" s="59"/>
      <c r="I14" s="59" t="str">
        <f t="shared" si="1"/>
        <v>0</v>
      </c>
      <c r="J14" s="59"/>
      <c r="K14" s="59" t="str">
        <f t="shared" si="2"/>
        <v>0</v>
      </c>
      <c r="L14" s="59"/>
      <c r="M14" s="59" t="str">
        <f t="shared" si="3"/>
        <v>0</v>
      </c>
      <c r="N14" s="40">
        <f t="shared" si="18"/>
        <v>0</v>
      </c>
      <c r="O14" s="59"/>
      <c r="P14" s="59" t="str">
        <f t="shared" si="4"/>
        <v>0</v>
      </c>
      <c r="Q14" s="59"/>
      <c r="R14" s="59" t="str">
        <f t="shared" si="5"/>
        <v>0</v>
      </c>
      <c r="S14" s="59"/>
      <c r="T14" s="59" t="str">
        <f t="shared" si="6"/>
        <v>0</v>
      </c>
      <c r="U14" s="59"/>
      <c r="V14" s="59" t="str">
        <f t="shared" si="7"/>
        <v>0</v>
      </c>
      <c r="W14" s="59"/>
      <c r="X14" s="59" t="str">
        <f t="shared" si="8"/>
        <v>0</v>
      </c>
      <c r="Y14" s="59">
        <f t="shared" si="19"/>
        <v>0</v>
      </c>
      <c r="Z14" s="59"/>
      <c r="AA14" s="59" t="str">
        <f t="shared" si="9"/>
        <v>0</v>
      </c>
      <c r="AB14" s="59"/>
      <c r="AC14" s="59" t="str">
        <f t="shared" si="10"/>
        <v>0</v>
      </c>
      <c r="AD14" s="59"/>
      <c r="AE14" s="59" t="str">
        <f t="shared" si="11"/>
        <v>0</v>
      </c>
      <c r="AF14" s="59"/>
      <c r="AG14" s="59" t="str">
        <f t="shared" si="12"/>
        <v>0</v>
      </c>
      <c r="AH14" s="59"/>
      <c r="AI14" s="59" t="str">
        <f t="shared" si="13"/>
        <v>0</v>
      </c>
      <c r="AJ14" s="59"/>
      <c r="AK14" s="59" t="str">
        <f t="shared" si="14"/>
        <v>0</v>
      </c>
      <c r="AL14" s="59">
        <f t="shared" si="15"/>
        <v>0</v>
      </c>
      <c r="AM14" s="40" t="e">
        <f t="shared" si="20"/>
        <v>#DIV/0!</v>
      </c>
      <c r="AN14" s="162" t="e">
        <f t="shared" si="16"/>
        <v>#DIV/0!</v>
      </c>
      <c r="AO14" s="219" t="e">
        <f t="shared" si="21"/>
        <v>#DIV/0!</v>
      </c>
      <c r="AP14" s="59"/>
      <c r="AQ14" s="59" t="str">
        <f t="shared" si="22"/>
        <v>0</v>
      </c>
      <c r="AR14" s="59"/>
      <c r="AS14" s="59" t="str">
        <f t="shared" si="23"/>
        <v>0</v>
      </c>
      <c r="AT14" s="59"/>
      <c r="AU14" s="59" t="str">
        <f t="shared" si="24"/>
        <v>0</v>
      </c>
      <c r="AV14" s="40">
        <f t="shared" si="17"/>
        <v>0</v>
      </c>
      <c r="AW14" s="220" t="str">
        <f t="shared" si="25"/>
        <v>LOW</v>
      </c>
      <c r="AX14" s="60"/>
    </row>
    <row r="15" spans="2:50" s="58" customFormat="1">
      <c r="B15" s="62"/>
      <c r="C15" s="61"/>
      <c r="D15" s="61"/>
      <c r="E15" s="61"/>
      <c r="F15" s="61"/>
      <c r="G15" s="59" t="str">
        <f t="shared" si="0"/>
        <v>0</v>
      </c>
      <c r="H15" s="59"/>
      <c r="I15" s="59" t="str">
        <f t="shared" si="1"/>
        <v>0</v>
      </c>
      <c r="J15" s="59"/>
      <c r="K15" s="59" t="str">
        <f t="shared" si="2"/>
        <v>0</v>
      </c>
      <c r="L15" s="59"/>
      <c r="M15" s="59" t="str">
        <f t="shared" si="3"/>
        <v>0</v>
      </c>
      <c r="N15" s="40">
        <f t="shared" si="18"/>
        <v>0</v>
      </c>
      <c r="O15" s="59"/>
      <c r="P15" s="59" t="str">
        <f t="shared" si="4"/>
        <v>0</v>
      </c>
      <c r="Q15" s="59"/>
      <c r="R15" s="59" t="str">
        <f t="shared" si="5"/>
        <v>0</v>
      </c>
      <c r="S15" s="59"/>
      <c r="T15" s="59" t="str">
        <f t="shared" si="6"/>
        <v>0</v>
      </c>
      <c r="U15" s="59"/>
      <c r="V15" s="59" t="str">
        <f t="shared" si="7"/>
        <v>0</v>
      </c>
      <c r="W15" s="59"/>
      <c r="X15" s="59" t="str">
        <f t="shared" si="8"/>
        <v>0</v>
      </c>
      <c r="Y15" s="59">
        <f t="shared" si="19"/>
        <v>0</v>
      </c>
      <c r="Z15" s="59"/>
      <c r="AA15" s="59" t="str">
        <f t="shared" si="9"/>
        <v>0</v>
      </c>
      <c r="AB15" s="59"/>
      <c r="AC15" s="59" t="str">
        <f t="shared" si="10"/>
        <v>0</v>
      </c>
      <c r="AD15" s="59"/>
      <c r="AE15" s="59" t="str">
        <f t="shared" si="11"/>
        <v>0</v>
      </c>
      <c r="AF15" s="59"/>
      <c r="AG15" s="59" t="str">
        <f t="shared" si="12"/>
        <v>0</v>
      </c>
      <c r="AH15" s="59"/>
      <c r="AI15" s="59" t="str">
        <f t="shared" si="13"/>
        <v>0</v>
      </c>
      <c r="AJ15" s="59"/>
      <c r="AK15" s="59" t="str">
        <f t="shared" si="14"/>
        <v>0</v>
      </c>
      <c r="AL15" s="59">
        <f t="shared" si="15"/>
        <v>0</v>
      </c>
      <c r="AM15" s="40" t="e">
        <f t="shared" si="20"/>
        <v>#DIV/0!</v>
      </c>
      <c r="AN15" s="162" t="e">
        <f t="shared" si="16"/>
        <v>#DIV/0!</v>
      </c>
      <c r="AO15" s="219" t="e">
        <f>IF(AND(AN15&gt;20,AN15&lt;=25),"EXTREMELY HIGH",IF(AND(AN15&gt;15,AN15&lt;=20),"HIGH",IF(AND(AN15&gt;10,AN15&lt;=15),"TOLERABLE",IF(AND(AN15&gt;5,AN15&lt;=10),"LOW",IF(AN15&lt;=5,"NEGLIGIBLE",0)))))</f>
        <v>#DIV/0!</v>
      </c>
      <c r="AP15" s="59"/>
      <c r="AQ15" s="59" t="str">
        <f t="shared" si="22"/>
        <v>0</v>
      </c>
      <c r="AR15" s="59"/>
      <c r="AS15" s="59" t="str">
        <f t="shared" si="23"/>
        <v>0</v>
      </c>
      <c r="AT15" s="59"/>
      <c r="AU15" s="59" t="str">
        <f t="shared" si="24"/>
        <v>0</v>
      </c>
      <c r="AV15" s="40">
        <f t="shared" si="17"/>
        <v>0</v>
      </c>
      <c r="AW15" s="220" t="str">
        <f t="shared" si="25"/>
        <v>LOW</v>
      </c>
      <c r="AX15" s="60"/>
    </row>
    <row r="16" spans="2:50" s="58" customFormat="1">
      <c r="B16" s="62"/>
      <c r="C16" s="61"/>
      <c r="D16" s="61"/>
      <c r="E16" s="61"/>
      <c r="F16" s="61"/>
      <c r="G16" s="59" t="str">
        <f t="shared" si="0"/>
        <v>0</v>
      </c>
      <c r="H16" s="59"/>
      <c r="I16" s="59" t="str">
        <f t="shared" si="1"/>
        <v>0</v>
      </c>
      <c r="J16" s="59"/>
      <c r="K16" s="59" t="str">
        <f t="shared" si="2"/>
        <v>0</v>
      </c>
      <c r="L16" s="59"/>
      <c r="M16" s="59" t="str">
        <f t="shared" si="3"/>
        <v>0</v>
      </c>
      <c r="N16" s="40">
        <f t="shared" si="18"/>
        <v>0</v>
      </c>
      <c r="O16" s="59"/>
      <c r="P16" s="59" t="str">
        <f t="shared" si="4"/>
        <v>0</v>
      </c>
      <c r="Q16" s="59"/>
      <c r="R16" s="59" t="str">
        <f t="shared" si="5"/>
        <v>0</v>
      </c>
      <c r="S16" s="59"/>
      <c r="T16" s="59" t="str">
        <f t="shared" si="6"/>
        <v>0</v>
      </c>
      <c r="U16" s="59"/>
      <c r="V16" s="59" t="str">
        <f t="shared" si="7"/>
        <v>0</v>
      </c>
      <c r="W16" s="59"/>
      <c r="X16" s="59" t="str">
        <f t="shared" si="8"/>
        <v>0</v>
      </c>
      <c r="Y16" s="59">
        <f t="shared" si="19"/>
        <v>0</v>
      </c>
      <c r="Z16" s="59"/>
      <c r="AA16" s="59" t="str">
        <f t="shared" si="9"/>
        <v>0</v>
      </c>
      <c r="AB16" s="59"/>
      <c r="AC16" s="59" t="str">
        <f t="shared" si="10"/>
        <v>0</v>
      </c>
      <c r="AD16" s="59"/>
      <c r="AE16" s="59" t="str">
        <f t="shared" si="11"/>
        <v>0</v>
      </c>
      <c r="AF16" s="59"/>
      <c r="AG16" s="59" t="str">
        <f t="shared" si="12"/>
        <v>0</v>
      </c>
      <c r="AH16" s="59"/>
      <c r="AI16" s="59" t="str">
        <f t="shared" si="13"/>
        <v>0</v>
      </c>
      <c r="AJ16" s="59"/>
      <c r="AK16" s="59" t="str">
        <f t="shared" si="14"/>
        <v>0</v>
      </c>
      <c r="AL16" s="59">
        <f t="shared" si="15"/>
        <v>0</v>
      </c>
      <c r="AM16" s="40" t="e">
        <f t="shared" si="20"/>
        <v>#DIV/0!</v>
      </c>
      <c r="AN16" s="162" t="e">
        <f t="shared" si="16"/>
        <v>#DIV/0!</v>
      </c>
      <c r="AO16" s="219" t="e">
        <f t="shared" ref="AO16:AO26" si="26">IF(AND(AN16&gt;20,AN16&lt;=25),"EXTREMELY HIGH",IF(AND(AN16&gt;15,AN16&lt;=20),"HIGH",IF(AND(AN16&gt;10,AN16&lt;=15),"TOLERABLE",IF(AND(AN16&gt;5,AN16&lt;=10),"LOW",IF(AN16&lt;=5,"NEGLIGIBLE",0)))))</f>
        <v>#DIV/0!</v>
      </c>
      <c r="AP16" s="59"/>
      <c r="AQ16" s="59" t="str">
        <f t="shared" si="22"/>
        <v>0</v>
      </c>
      <c r="AR16" s="59"/>
      <c r="AS16" s="59" t="str">
        <f t="shared" si="23"/>
        <v>0</v>
      </c>
      <c r="AT16" s="59"/>
      <c r="AU16" s="59" t="str">
        <f t="shared" si="24"/>
        <v>0</v>
      </c>
      <c r="AV16" s="40">
        <f t="shared" si="17"/>
        <v>0</v>
      </c>
      <c r="AW16" s="220" t="str">
        <f t="shared" si="25"/>
        <v>LOW</v>
      </c>
      <c r="AX16" s="60"/>
    </row>
    <row r="17" spans="2:50" s="58" customFormat="1">
      <c r="B17" s="62"/>
      <c r="C17" s="61"/>
      <c r="D17" s="61"/>
      <c r="E17" s="61"/>
      <c r="F17" s="61"/>
      <c r="G17" s="59" t="str">
        <f t="shared" si="0"/>
        <v>0</v>
      </c>
      <c r="H17" s="59"/>
      <c r="I17" s="59" t="str">
        <f t="shared" si="1"/>
        <v>0</v>
      </c>
      <c r="J17" s="59"/>
      <c r="K17" s="59" t="str">
        <f t="shared" si="2"/>
        <v>0</v>
      </c>
      <c r="L17" s="59"/>
      <c r="M17" s="59" t="str">
        <f t="shared" si="3"/>
        <v>0</v>
      </c>
      <c r="N17" s="40">
        <f t="shared" si="18"/>
        <v>0</v>
      </c>
      <c r="O17" s="59"/>
      <c r="P17" s="59" t="str">
        <f t="shared" si="4"/>
        <v>0</v>
      </c>
      <c r="Q17" s="59"/>
      <c r="R17" s="59" t="str">
        <f t="shared" si="5"/>
        <v>0</v>
      </c>
      <c r="S17" s="59"/>
      <c r="T17" s="59" t="str">
        <f t="shared" si="6"/>
        <v>0</v>
      </c>
      <c r="U17" s="59"/>
      <c r="V17" s="59" t="str">
        <f t="shared" si="7"/>
        <v>0</v>
      </c>
      <c r="W17" s="59"/>
      <c r="X17" s="59" t="str">
        <f t="shared" si="8"/>
        <v>0</v>
      </c>
      <c r="Y17" s="59">
        <f t="shared" si="19"/>
        <v>0</v>
      </c>
      <c r="Z17" s="59"/>
      <c r="AA17" s="59" t="str">
        <f t="shared" si="9"/>
        <v>0</v>
      </c>
      <c r="AB17" s="59"/>
      <c r="AC17" s="59" t="str">
        <f t="shared" si="10"/>
        <v>0</v>
      </c>
      <c r="AD17" s="59"/>
      <c r="AE17" s="59" t="str">
        <f t="shared" si="11"/>
        <v>0</v>
      </c>
      <c r="AF17" s="59"/>
      <c r="AG17" s="59" t="str">
        <f t="shared" si="12"/>
        <v>0</v>
      </c>
      <c r="AH17" s="59"/>
      <c r="AI17" s="59" t="str">
        <f t="shared" si="13"/>
        <v>0</v>
      </c>
      <c r="AJ17" s="59"/>
      <c r="AK17" s="59" t="str">
        <f t="shared" si="14"/>
        <v>0</v>
      </c>
      <c r="AL17" s="59">
        <f t="shared" si="15"/>
        <v>0</v>
      </c>
      <c r="AM17" s="40" t="e">
        <f t="shared" si="20"/>
        <v>#DIV/0!</v>
      </c>
      <c r="AN17" s="162" t="e">
        <f t="shared" si="16"/>
        <v>#DIV/0!</v>
      </c>
      <c r="AO17" s="219" t="e">
        <f t="shared" si="26"/>
        <v>#DIV/0!</v>
      </c>
      <c r="AP17" s="59"/>
      <c r="AQ17" s="59" t="str">
        <f t="shared" si="22"/>
        <v>0</v>
      </c>
      <c r="AR17" s="59"/>
      <c r="AS17" s="59" t="str">
        <f t="shared" si="23"/>
        <v>0</v>
      </c>
      <c r="AT17" s="59"/>
      <c r="AU17" s="59" t="str">
        <f t="shared" si="24"/>
        <v>0</v>
      </c>
      <c r="AV17" s="40">
        <f t="shared" si="17"/>
        <v>0</v>
      </c>
      <c r="AW17" s="220" t="str">
        <f t="shared" si="25"/>
        <v>LOW</v>
      </c>
      <c r="AX17" s="60"/>
    </row>
    <row r="18" spans="2:50" s="58" customFormat="1">
      <c r="B18" s="62"/>
      <c r="C18" s="61"/>
      <c r="D18" s="61"/>
      <c r="E18" s="61"/>
      <c r="F18" s="61"/>
      <c r="G18" s="59" t="str">
        <f t="shared" si="0"/>
        <v>0</v>
      </c>
      <c r="H18" s="59"/>
      <c r="I18" s="59" t="str">
        <f t="shared" si="1"/>
        <v>0</v>
      </c>
      <c r="J18" s="59"/>
      <c r="K18" s="59" t="str">
        <f t="shared" si="2"/>
        <v>0</v>
      </c>
      <c r="L18" s="59"/>
      <c r="M18" s="59" t="str">
        <f t="shared" si="3"/>
        <v>0</v>
      </c>
      <c r="N18" s="40">
        <f t="shared" si="18"/>
        <v>0</v>
      </c>
      <c r="O18" s="59"/>
      <c r="P18" s="59" t="str">
        <f t="shared" si="4"/>
        <v>0</v>
      </c>
      <c r="Q18" s="59"/>
      <c r="R18" s="59" t="str">
        <f t="shared" si="5"/>
        <v>0</v>
      </c>
      <c r="S18" s="59"/>
      <c r="T18" s="59" t="str">
        <f t="shared" si="6"/>
        <v>0</v>
      </c>
      <c r="U18" s="59"/>
      <c r="V18" s="59" t="str">
        <f t="shared" si="7"/>
        <v>0</v>
      </c>
      <c r="W18" s="59"/>
      <c r="X18" s="59" t="str">
        <f t="shared" si="8"/>
        <v>0</v>
      </c>
      <c r="Y18" s="59">
        <f t="shared" si="19"/>
        <v>0</v>
      </c>
      <c r="Z18" s="59"/>
      <c r="AA18" s="59" t="str">
        <f t="shared" si="9"/>
        <v>0</v>
      </c>
      <c r="AB18" s="59"/>
      <c r="AC18" s="59" t="str">
        <f t="shared" si="10"/>
        <v>0</v>
      </c>
      <c r="AD18" s="59"/>
      <c r="AE18" s="59" t="str">
        <f t="shared" si="11"/>
        <v>0</v>
      </c>
      <c r="AF18" s="59"/>
      <c r="AG18" s="59" t="str">
        <f t="shared" si="12"/>
        <v>0</v>
      </c>
      <c r="AH18" s="59"/>
      <c r="AI18" s="59" t="str">
        <f t="shared" si="13"/>
        <v>0</v>
      </c>
      <c r="AJ18" s="59"/>
      <c r="AK18" s="59" t="str">
        <f t="shared" si="14"/>
        <v>0</v>
      </c>
      <c r="AL18" s="59">
        <f t="shared" si="15"/>
        <v>0</v>
      </c>
      <c r="AM18" s="40" t="e">
        <f t="shared" si="20"/>
        <v>#DIV/0!</v>
      </c>
      <c r="AN18" s="162" t="e">
        <f t="shared" si="16"/>
        <v>#DIV/0!</v>
      </c>
      <c r="AO18" s="219" t="e">
        <f t="shared" si="26"/>
        <v>#DIV/0!</v>
      </c>
      <c r="AP18" s="59"/>
      <c r="AQ18" s="59" t="str">
        <f t="shared" si="22"/>
        <v>0</v>
      </c>
      <c r="AR18" s="59"/>
      <c r="AS18" s="59" t="str">
        <f t="shared" si="23"/>
        <v>0</v>
      </c>
      <c r="AT18" s="59"/>
      <c r="AU18" s="59" t="str">
        <f t="shared" si="24"/>
        <v>0</v>
      </c>
      <c r="AV18" s="40">
        <f t="shared" si="17"/>
        <v>0</v>
      </c>
      <c r="AW18" s="220" t="str">
        <f t="shared" si="25"/>
        <v>LOW</v>
      </c>
      <c r="AX18" s="60"/>
    </row>
    <row r="19" spans="2:50" s="58" customFormat="1">
      <c r="B19" s="62"/>
      <c r="C19" s="61"/>
      <c r="D19" s="61"/>
      <c r="E19" s="61"/>
      <c r="F19" s="61"/>
      <c r="G19" s="59" t="str">
        <f t="shared" si="0"/>
        <v>0</v>
      </c>
      <c r="H19" s="59"/>
      <c r="I19" s="59" t="str">
        <f t="shared" si="1"/>
        <v>0</v>
      </c>
      <c r="J19" s="59"/>
      <c r="K19" s="59" t="str">
        <f t="shared" si="2"/>
        <v>0</v>
      </c>
      <c r="L19" s="59"/>
      <c r="M19" s="59" t="str">
        <f t="shared" si="3"/>
        <v>0</v>
      </c>
      <c r="N19" s="40">
        <f t="shared" si="18"/>
        <v>0</v>
      </c>
      <c r="O19" s="59"/>
      <c r="P19" s="59" t="str">
        <f t="shared" si="4"/>
        <v>0</v>
      </c>
      <c r="Q19" s="59"/>
      <c r="R19" s="59" t="str">
        <f t="shared" si="5"/>
        <v>0</v>
      </c>
      <c r="S19" s="59"/>
      <c r="T19" s="59" t="str">
        <f t="shared" si="6"/>
        <v>0</v>
      </c>
      <c r="U19" s="59"/>
      <c r="V19" s="59" t="str">
        <f t="shared" si="7"/>
        <v>0</v>
      </c>
      <c r="W19" s="59"/>
      <c r="X19" s="59" t="str">
        <f t="shared" si="8"/>
        <v>0</v>
      </c>
      <c r="Y19" s="59">
        <f t="shared" si="19"/>
        <v>0</v>
      </c>
      <c r="Z19" s="59"/>
      <c r="AA19" s="59" t="str">
        <f t="shared" si="9"/>
        <v>0</v>
      </c>
      <c r="AB19" s="59"/>
      <c r="AC19" s="59" t="str">
        <f t="shared" si="10"/>
        <v>0</v>
      </c>
      <c r="AD19" s="59"/>
      <c r="AE19" s="59" t="str">
        <f t="shared" si="11"/>
        <v>0</v>
      </c>
      <c r="AF19" s="59"/>
      <c r="AG19" s="59" t="str">
        <f t="shared" si="12"/>
        <v>0</v>
      </c>
      <c r="AH19" s="59"/>
      <c r="AI19" s="59" t="str">
        <f t="shared" si="13"/>
        <v>0</v>
      </c>
      <c r="AJ19" s="59"/>
      <c r="AK19" s="59" t="str">
        <f t="shared" si="14"/>
        <v>0</v>
      </c>
      <c r="AL19" s="59">
        <f t="shared" si="15"/>
        <v>0</v>
      </c>
      <c r="AM19" s="40" t="e">
        <f t="shared" si="20"/>
        <v>#DIV/0!</v>
      </c>
      <c r="AN19" s="162" t="e">
        <f t="shared" si="16"/>
        <v>#DIV/0!</v>
      </c>
      <c r="AO19" s="219" t="e">
        <f t="shared" si="26"/>
        <v>#DIV/0!</v>
      </c>
      <c r="AP19" s="59"/>
      <c r="AQ19" s="59" t="str">
        <f t="shared" si="22"/>
        <v>0</v>
      </c>
      <c r="AR19" s="59"/>
      <c r="AS19" s="59" t="str">
        <f t="shared" si="23"/>
        <v>0</v>
      </c>
      <c r="AT19" s="59"/>
      <c r="AU19" s="59" t="str">
        <f t="shared" si="24"/>
        <v>0</v>
      </c>
      <c r="AV19" s="40">
        <f t="shared" si="17"/>
        <v>0</v>
      </c>
      <c r="AW19" s="220" t="str">
        <f t="shared" si="25"/>
        <v>LOW</v>
      </c>
      <c r="AX19" s="60"/>
    </row>
    <row r="20" spans="2:50" s="58" customFormat="1">
      <c r="B20" s="62"/>
      <c r="C20" s="61"/>
      <c r="D20" s="61"/>
      <c r="E20" s="61"/>
      <c r="F20" s="61"/>
      <c r="G20" s="40" t="str">
        <f t="shared" si="0"/>
        <v>0</v>
      </c>
      <c r="H20" s="59"/>
      <c r="I20" s="59" t="str">
        <f t="shared" si="1"/>
        <v>0</v>
      </c>
      <c r="J20" s="59"/>
      <c r="K20" s="59" t="str">
        <f t="shared" si="2"/>
        <v>0</v>
      </c>
      <c r="L20" s="59"/>
      <c r="M20" s="59" t="str">
        <f t="shared" si="3"/>
        <v>0</v>
      </c>
      <c r="N20" s="40">
        <f t="shared" si="18"/>
        <v>0</v>
      </c>
      <c r="O20" s="59"/>
      <c r="P20" s="59" t="str">
        <f t="shared" si="4"/>
        <v>0</v>
      </c>
      <c r="Q20" s="59"/>
      <c r="R20" s="59" t="str">
        <f t="shared" si="5"/>
        <v>0</v>
      </c>
      <c r="S20" s="59"/>
      <c r="T20" s="59" t="str">
        <f t="shared" si="6"/>
        <v>0</v>
      </c>
      <c r="U20" s="59"/>
      <c r="V20" s="59" t="str">
        <f t="shared" si="7"/>
        <v>0</v>
      </c>
      <c r="W20" s="59"/>
      <c r="X20" s="59" t="str">
        <f t="shared" si="8"/>
        <v>0</v>
      </c>
      <c r="Y20" s="59">
        <f t="shared" si="19"/>
        <v>0</v>
      </c>
      <c r="Z20" s="59"/>
      <c r="AA20" s="59" t="str">
        <f t="shared" si="9"/>
        <v>0</v>
      </c>
      <c r="AB20" s="59"/>
      <c r="AC20" s="59" t="str">
        <f t="shared" si="10"/>
        <v>0</v>
      </c>
      <c r="AD20" s="59"/>
      <c r="AE20" s="59" t="str">
        <f t="shared" si="11"/>
        <v>0</v>
      </c>
      <c r="AF20" s="59"/>
      <c r="AG20" s="59" t="str">
        <f t="shared" si="12"/>
        <v>0</v>
      </c>
      <c r="AH20" s="59"/>
      <c r="AI20" s="59" t="str">
        <f t="shared" si="13"/>
        <v>0</v>
      </c>
      <c r="AJ20" s="59"/>
      <c r="AK20" s="59" t="str">
        <f t="shared" si="14"/>
        <v>0</v>
      </c>
      <c r="AL20" s="59">
        <f t="shared" si="15"/>
        <v>0</v>
      </c>
      <c r="AM20" s="40" t="e">
        <f t="shared" si="20"/>
        <v>#DIV/0!</v>
      </c>
      <c r="AN20" s="162" t="e">
        <f t="shared" si="16"/>
        <v>#DIV/0!</v>
      </c>
      <c r="AO20" s="219" t="e">
        <f t="shared" si="26"/>
        <v>#DIV/0!</v>
      </c>
      <c r="AP20" s="59"/>
      <c r="AQ20" s="59" t="str">
        <f>IF(AP20=$AP$5,"0",IF(AP20=$AP$6,"1",IF(AP20=$AP$7,"2",IF(AP20=$AP$8,"3",IF(AP20=$AP$9,"4",IF(AP20=$AP$10,"5"))))))</f>
        <v>0</v>
      </c>
      <c r="AR20" s="59"/>
      <c r="AS20" s="59" t="str">
        <f>IF(AR20=$AR$5,"0",IF(AR20=$AR$6,"1",IF(AR20=$AR$7,"2",IF(AR20=$AR$8,"3",IF(AR20=$AR$9,"4",IF(AR20=$AR$10,"5"))))))</f>
        <v>0</v>
      </c>
      <c r="AT20" s="59"/>
      <c r="AU20" s="59" t="str">
        <f>IF(AT20=$AT$5,"0",IF(AT20=$AT$6,"1",IF(AT20=$AT$7,"2",IF(AT20=$AT$8,"3",IF(AT20=$AT$9,"4",IF(AT20=$AT$10,"5"))))))</f>
        <v>0</v>
      </c>
      <c r="AV20" s="40">
        <f t="shared" si="17"/>
        <v>0</v>
      </c>
      <c r="AW20" s="220" t="str">
        <f t="shared" si="25"/>
        <v>LOW</v>
      </c>
      <c r="AX20" s="60"/>
    </row>
    <row r="21" spans="2:50" s="58" customFormat="1">
      <c r="B21" s="62"/>
      <c r="C21" s="61"/>
      <c r="D21" s="61"/>
      <c r="E21" s="61"/>
      <c r="F21" s="61"/>
      <c r="G21" s="40" t="str">
        <f t="shared" si="0"/>
        <v>0</v>
      </c>
      <c r="H21" s="59"/>
      <c r="I21" s="59" t="str">
        <f t="shared" si="1"/>
        <v>0</v>
      </c>
      <c r="J21" s="59"/>
      <c r="K21" s="59" t="str">
        <f t="shared" si="2"/>
        <v>0</v>
      </c>
      <c r="L21" s="59"/>
      <c r="M21" s="59" t="str">
        <f t="shared" si="3"/>
        <v>0</v>
      </c>
      <c r="N21" s="40">
        <f t="shared" si="18"/>
        <v>0</v>
      </c>
      <c r="O21" s="59"/>
      <c r="P21" s="59" t="str">
        <f t="shared" si="4"/>
        <v>0</v>
      </c>
      <c r="Q21" s="59"/>
      <c r="R21" s="59" t="str">
        <f t="shared" si="5"/>
        <v>0</v>
      </c>
      <c r="S21" s="59"/>
      <c r="T21" s="59" t="str">
        <f t="shared" si="6"/>
        <v>0</v>
      </c>
      <c r="U21" s="59"/>
      <c r="V21" s="59" t="str">
        <f t="shared" si="7"/>
        <v>0</v>
      </c>
      <c r="W21" s="59"/>
      <c r="X21" s="59" t="str">
        <f t="shared" si="8"/>
        <v>0</v>
      </c>
      <c r="Y21" s="59">
        <f t="shared" si="19"/>
        <v>0</v>
      </c>
      <c r="Z21" s="59"/>
      <c r="AA21" s="59" t="str">
        <f t="shared" si="9"/>
        <v>0</v>
      </c>
      <c r="AB21" s="59"/>
      <c r="AC21" s="59" t="str">
        <f t="shared" si="10"/>
        <v>0</v>
      </c>
      <c r="AD21" s="59"/>
      <c r="AE21" s="59" t="str">
        <f t="shared" si="11"/>
        <v>0</v>
      </c>
      <c r="AF21" s="59"/>
      <c r="AG21" s="59" t="str">
        <f t="shared" si="12"/>
        <v>0</v>
      </c>
      <c r="AH21" s="59"/>
      <c r="AI21" s="59" t="str">
        <f t="shared" si="13"/>
        <v>0</v>
      </c>
      <c r="AJ21" s="59"/>
      <c r="AK21" s="59" t="str">
        <f t="shared" si="14"/>
        <v>0</v>
      </c>
      <c r="AL21" s="59">
        <f t="shared" si="15"/>
        <v>0</v>
      </c>
      <c r="AM21" s="40" t="e">
        <f t="shared" si="20"/>
        <v>#DIV/0!</v>
      </c>
      <c r="AN21" s="162" t="e">
        <f t="shared" si="16"/>
        <v>#DIV/0!</v>
      </c>
      <c r="AO21" s="219" t="e">
        <f t="shared" si="26"/>
        <v>#DIV/0!</v>
      </c>
      <c r="AP21" s="59"/>
      <c r="AQ21" s="59" t="str">
        <f t="shared" si="22"/>
        <v>0</v>
      </c>
      <c r="AR21" s="59"/>
      <c r="AS21" s="59" t="str">
        <f t="shared" si="23"/>
        <v>0</v>
      </c>
      <c r="AT21" s="59"/>
      <c r="AU21" s="59" t="str">
        <f t="shared" si="24"/>
        <v>0</v>
      </c>
      <c r="AV21" s="40">
        <f t="shared" si="17"/>
        <v>0</v>
      </c>
      <c r="AW21" s="220" t="str">
        <f t="shared" si="25"/>
        <v>LOW</v>
      </c>
      <c r="AX21" s="60"/>
    </row>
    <row r="22" spans="2:50" s="58" customFormat="1">
      <c r="B22" s="62"/>
      <c r="C22" s="61"/>
      <c r="D22" s="61"/>
      <c r="E22" s="61"/>
      <c r="F22" s="61"/>
      <c r="G22" s="40" t="str">
        <f t="shared" si="0"/>
        <v>0</v>
      </c>
      <c r="H22" s="59"/>
      <c r="I22" s="59" t="str">
        <f t="shared" si="1"/>
        <v>0</v>
      </c>
      <c r="J22" s="59"/>
      <c r="K22" s="59" t="str">
        <f t="shared" si="2"/>
        <v>0</v>
      </c>
      <c r="L22" s="59"/>
      <c r="M22" s="59" t="str">
        <f t="shared" si="3"/>
        <v>0</v>
      </c>
      <c r="N22" s="40">
        <f t="shared" si="18"/>
        <v>0</v>
      </c>
      <c r="O22" s="59"/>
      <c r="P22" s="59" t="str">
        <f t="shared" si="4"/>
        <v>0</v>
      </c>
      <c r="Q22" s="59"/>
      <c r="R22" s="59" t="str">
        <f t="shared" si="5"/>
        <v>0</v>
      </c>
      <c r="S22" s="59"/>
      <c r="T22" s="59" t="str">
        <f t="shared" si="6"/>
        <v>0</v>
      </c>
      <c r="U22" s="59"/>
      <c r="V22" s="59" t="str">
        <f t="shared" si="7"/>
        <v>0</v>
      </c>
      <c r="W22" s="59"/>
      <c r="X22" s="59" t="str">
        <f t="shared" si="8"/>
        <v>0</v>
      </c>
      <c r="Y22" s="59">
        <f t="shared" si="19"/>
        <v>0</v>
      </c>
      <c r="Z22" s="59"/>
      <c r="AA22" s="59" t="str">
        <f t="shared" si="9"/>
        <v>0</v>
      </c>
      <c r="AB22" s="59"/>
      <c r="AC22" s="59" t="str">
        <f t="shared" si="10"/>
        <v>0</v>
      </c>
      <c r="AD22" s="59"/>
      <c r="AE22" s="59" t="str">
        <f t="shared" si="11"/>
        <v>0</v>
      </c>
      <c r="AF22" s="59"/>
      <c r="AG22" s="59" t="str">
        <f t="shared" si="12"/>
        <v>0</v>
      </c>
      <c r="AH22" s="59"/>
      <c r="AI22" s="59" t="str">
        <f t="shared" si="13"/>
        <v>0</v>
      </c>
      <c r="AJ22" s="59"/>
      <c r="AK22" s="59" t="str">
        <f t="shared" si="14"/>
        <v>0</v>
      </c>
      <c r="AL22" s="59">
        <f t="shared" si="15"/>
        <v>0</v>
      </c>
      <c r="AM22" s="40" t="e">
        <f t="shared" si="20"/>
        <v>#DIV/0!</v>
      </c>
      <c r="AN22" s="162" t="e">
        <f t="shared" si="16"/>
        <v>#DIV/0!</v>
      </c>
      <c r="AO22" s="219" t="e">
        <f t="shared" si="26"/>
        <v>#DIV/0!</v>
      </c>
      <c r="AP22" s="59"/>
      <c r="AQ22" s="59" t="str">
        <f t="shared" si="22"/>
        <v>0</v>
      </c>
      <c r="AR22" s="59"/>
      <c r="AS22" s="59" t="str">
        <f t="shared" si="23"/>
        <v>0</v>
      </c>
      <c r="AT22" s="59"/>
      <c r="AU22" s="59" t="str">
        <f t="shared" si="24"/>
        <v>0</v>
      </c>
      <c r="AV22" s="40">
        <f t="shared" si="17"/>
        <v>0</v>
      </c>
      <c r="AW22" s="220" t="str">
        <f t="shared" si="25"/>
        <v>LOW</v>
      </c>
      <c r="AX22" s="60"/>
    </row>
    <row r="23" spans="2:50" s="58" customFormat="1">
      <c r="B23" s="62"/>
      <c r="C23" s="61"/>
      <c r="D23" s="61"/>
      <c r="E23" s="61"/>
      <c r="F23" s="61"/>
      <c r="G23" s="40" t="str">
        <f t="shared" si="0"/>
        <v>0</v>
      </c>
      <c r="H23" s="59"/>
      <c r="I23" s="59" t="str">
        <f t="shared" si="1"/>
        <v>0</v>
      </c>
      <c r="J23" s="59"/>
      <c r="K23" s="59" t="str">
        <f t="shared" si="2"/>
        <v>0</v>
      </c>
      <c r="L23" s="59"/>
      <c r="M23" s="59" t="str">
        <f t="shared" si="3"/>
        <v>0</v>
      </c>
      <c r="N23" s="40">
        <f t="shared" si="18"/>
        <v>0</v>
      </c>
      <c r="O23" s="59"/>
      <c r="P23" s="59" t="str">
        <f t="shared" si="4"/>
        <v>0</v>
      </c>
      <c r="Q23" s="59"/>
      <c r="R23" s="59" t="str">
        <f t="shared" si="5"/>
        <v>0</v>
      </c>
      <c r="S23" s="59"/>
      <c r="T23" s="59" t="str">
        <f t="shared" si="6"/>
        <v>0</v>
      </c>
      <c r="U23" s="59"/>
      <c r="V23" s="59" t="str">
        <f t="shared" si="7"/>
        <v>0</v>
      </c>
      <c r="W23" s="59"/>
      <c r="X23" s="59" t="str">
        <f t="shared" si="8"/>
        <v>0</v>
      </c>
      <c r="Y23" s="59">
        <f t="shared" si="19"/>
        <v>0</v>
      </c>
      <c r="Z23" s="59"/>
      <c r="AA23" s="59" t="str">
        <f t="shared" si="9"/>
        <v>0</v>
      </c>
      <c r="AB23" s="59"/>
      <c r="AC23" s="59" t="str">
        <f t="shared" si="10"/>
        <v>0</v>
      </c>
      <c r="AD23" s="59"/>
      <c r="AE23" s="59" t="str">
        <f t="shared" si="11"/>
        <v>0</v>
      </c>
      <c r="AF23" s="59"/>
      <c r="AG23" s="59" t="str">
        <f t="shared" si="12"/>
        <v>0</v>
      </c>
      <c r="AH23" s="59"/>
      <c r="AI23" s="59" t="str">
        <f t="shared" si="13"/>
        <v>0</v>
      </c>
      <c r="AJ23" s="59"/>
      <c r="AK23" s="59" t="str">
        <f t="shared" si="14"/>
        <v>0</v>
      </c>
      <c r="AL23" s="59">
        <f t="shared" si="15"/>
        <v>0</v>
      </c>
      <c r="AM23" s="40" t="e">
        <f t="shared" si="20"/>
        <v>#DIV/0!</v>
      </c>
      <c r="AN23" s="162" t="e">
        <f t="shared" si="16"/>
        <v>#DIV/0!</v>
      </c>
      <c r="AO23" s="219" t="e">
        <f t="shared" si="26"/>
        <v>#DIV/0!</v>
      </c>
      <c r="AP23" s="59"/>
      <c r="AQ23" s="59" t="str">
        <f t="shared" si="22"/>
        <v>0</v>
      </c>
      <c r="AR23" s="59"/>
      <c r="AS23" s="59" t="str">
        <f t="shared" si="23"/>
        <v>0</v>
      </c>
      <c r="AT23" s="59"/>
      <c r="AU23" s="59" t="str">
        <f t="shared" si="24"/>
        <v>0</v>
      </c>
      <c r="AV23" s="40">
        <f t="shared" si="17"/>
        <v>0</v>
      </c>
      <c r="AW23" s="220" t="str">
        <f t="shared" si="25"/>
        <v>LOW</v>
      </c>
      <c r="AX23" s="60"/>
    </row>
    <row r="24" spans="2:50" s="58" customFormat="1">
      <c r="B24" s="62"/>
      <c r="C24" s="61"/>
      <c r="D24" s="61"/>
      <c r="E24" s="61"/>
      <c r="F24" s="61"/>
      <c r="G24" s="40" t="str">
        <f t="shared" si="0"/>
        <v>0</v>
      </c>
      <c r="H24" s="59"/>
      <c r="I24" s="59" t="str">
        <f t="shared" si="1"/>
        <v>0</v>
      </c>
      <c r="J24" s="59"/>
      <c r="K24" s="59" t="str">
        <f t="shared" si="2"/>
        <v>0</v>
      </c>
      <c r="L24" s="59"/>
      <c r="M24" s="59" t="str">
        <f t="shared" si="3"/>
        <v>0</v>
      </c>
      <c r="N24" s="40">
        <f t="shared" si="18"/>
        <v>0</v>
      </c>
      <c r="O24" s="59"/>
      <c r="P24" s="59" t="str">
        <f t="shared" si="4"/>
        <v>0</v>
      </c>
      <c r="Q24" s="59"/>
      <c r="R24" s="59" t="str">
        <f t="shared" si="5"/>
        <v>0</v>
      </c>
      <c r="S24" s="59"/>
      <c r="T24" s="59" t="str">
        <f t="shared" si="6"/>
        <v>0</v>
      </c>
      <c r="U24" s="59"/>
      <c r="V24" s="59" t="str">
        <f t="shared" si="7"/>
        <v>0</v>
      </c>
      <c r="W24" s="59"/>
      <c r="X24" s="59" t="str">
        <f t="shared" si="8"/>
        <v>0</v>
      </c>
      <c r="Y24" s="59">
        <f t="shared" si="19"/>
        <v>0</v>
      </c>
      <c r="Z24" s="59"/>
      <c r="AA24" s="59" t="str">
        <f t="shared" si="9"/>
        <v>0</v>
      </c>
      <c r="AB24" s="59"/>
      <c r="AC24" s="59" t="str">
        <f t="shared" si="10"/>
        <v>0</v>
      </c>
      <c r="AD24" s="59"/>
      <c r="AE24" s="59" t="str">
        <f t="shared" si="11"/>
        <v>0</v>
      </c>
      <c r="AF24" s="59"/>
      <c r="AG24" s="59" t="str">
        <f t="shared" si="12"/>
        <v>0</v>
      </c>
      <c r="AH24" s="59"/>
      <c r="AI24" s="59" t="str">
        <f t="shared" si="13"/>
        <v>0</v>
      </c>
      <c r="AJ24" s="59"/>
      <c r="AK24" s="59" t="str">
        <f t="shared" si="14"/>
        <v>0</v>
      </c>
      <c r="AL24" s="59">
        <f t="shared" si="15"/>
        <v>0</v>
      </c>
      <c r="AM24" s="40" t="e">
        <f t="shared" si="20"/>
        <v>#DIV/0!</v>
      </c>
      <c r="AN24" s="162" t="e">
        <f t="shared" si="16"/>
        <v>#DIV/0!</v>
      </c>
      <c r="AO24" s="219" t="e">
        <f t="shared" si="26"/>
        <v>#DIV/0!</v>
      </c>
      <c r="AP24" s="59"/>
      <c r="AQ24" s="59" t="str">
        <f t="shared" si="22"/>
        <v>0</v>
      </c>
      <c r="AR24" s="59"/>
      <c r="AS24" s="59" t="str">
        <f t="shared" si="23"/>
        <v>0</v>
      </c>
      <c r="AT24" s="59"/>
      <c r="AU24" s="59" t="str">
        <f t="shared" si="24"/>
        <v>0</v>
      </c>
      <c r="AV24" s="40">
        <f t="shared" si="17"/>
        <v>0</v>
      </c>
      <c r="AW24" s="220" t="str">
        <f t="shared" si="25"/>
        <v>LOW</v>
      </c>
      <c r="AX24" s="60"/>
    </row>
    <row r="25" spans="2:50" s="58" customFormat="1">
      <c r="B25" s="62"/>
      <c r="C25" s="61"/>
      <c r="D25" s="61"/>
      <c r="E25" s="61"/>
      <c r="F25" s="61"/>
      <c r="G25" s="40" t="str">
        <f t="shared" si="0"/>
        <v>0</v>
      </c>
      <c r="H25" s="59"/>
      <c r="I25" s="59" t="str">
        <f t="shared" si="1"/>
        <v>0</v>
      </c>
      <c r="J25" s="59"/>
      <c r="K25" s="59" t="str">
        <f t="shared" si="2"/>
        <v>0</v>
      </c>
      <c r="L25" s="59"/>
      <c r="M25" s="59" t="str">
        <f t="shared" si="3"/>
        <v>0</v>
      </c>
      <c r="N25" s="40">
        <f t="shared" si="18"/>
        <v>0</v>
      </c>
      <c r="O25" s="59"/>
      <c r="P25" s="59" t="str">
        <f t="shared" si="4"/>
        <v>0</v>
      </c>
      <c r="Q25" s="59"/>
      <c r="R25" s="59" t="str">
        <f t="shared" si="5"/>
        <v>0</v>
      </c>
      <c r="S25" s="59"/>
      <c r="T25" s="59" t="str">
        <f t="shared" si="6"/>
        <v>0</v>
      </c>
      <c r="U25" s="59"/>
      <c r="V25" s="59" t="str">
        <f t="shared" si="7"/>
        <v>0</v>
      </c>
      <c r="W25" s="59"/>
      <c r="X25" s="59" t="str">
        <f t="shared" si="8"/>
        <v>0</v>
      </c>
      <c r="Y25" s="59">
        <f t="shared" si="19"/>
        <v>0</v>
      </c>
      <c r="Z25" s="59"/>
      <c r="AA25" s="59" t="str">
        <f t="shared" si="9"/>
        <v>0</v>
      </c>
      <c r="AB25" s="59"/>
      <c r="AC25" s="59" t="str">
        <f t="shared" si="10"/>
        <v>0</v>
      </c>
      <c r="AD25" s="59"/>
      <c r="AE25" s="59" t="str">
        <f t="shared" si="11"/>
        <v>0</v>
      </c>
      <c r="AF25" s="59"/>
      <c r="AG25" s="59" t="str">
        <f t="shared" si="12"/>
        <v>0</v>
      </c>
      <c r="AH25" s="59"/>
      <c r="AI25" s="59" t="str">
        <f t="shared" si="13"/>
        <v>0</v>
      </c>
      <c r="AJ25" s="59"/>
      <c r="AK25" s="59" t="str">
        <f t="shared" si="14"/>
        <v>0</v>
      </c>
      <c r="AL25" s="59">
        <f t="shared" si="15"/>
        <v>0</v>
      </c>
      <c r="AM25" s="40" t="e">
        <f t="shared" si="20"/>
        <v>#DIV/0!</v>
      </c>
      <c r="AN25" s="162" t="e">
        <f t="shared" si="16"/>
        <v>#DIV/0!</v>
      </c>
      <c r="AO25" s="219" t="e">
        <f t="shared" si="26"/>
        <v>#DIV/0!</v>
      </c>
      <c r="AP25" s="59"/>
      <c r="AQ25" s="59" t="str">
        <f t="shared" si="22"/>
        <v>0</v>
      </c>
      <c r="AR25" s="59"/>
      <c r="AS25" s="59" t="str">
        <f t="shared" si="23"/>
        <v>0</v>
      </c>
      <c r="AT25" s="59"/>
      <c r="AU25" s="59" t="str">
        <f t="shared" si="24"/>
        <v>0</v>
      </c>
      <c r="AV25" s="40">
        <f t="shared" si="17"/>
        <v>0</v>
      </c>
      <c r="AW25" s="220" t="str">
        <f t="shared" si="25"/>
        <v>LOW</v>
      </c>
      <c r="AX25" s="60"/>
    </row>
    <row r="26" spans="2:50" s="58" customFormat="1">
      <c r="B26" s="62"/>
      <c r="C26" s="61"/>
      <c r="D26" s="61"/>
      <c r="E26" s="61"/>
      <c r="F26" s="61"/>
      <c r="G26" s="40" t="str">
        <f t="shared" si="0"/>
        <v>0</v>
      </c>
      <c r="H26" s="59"/>
      <c r="I26" s="59" t="str">
        <f t="shared" si="1"/>
        <v>0</v>
      </c>
      <c r="J26" s="59"/>
      <c r="K26" s="59" t="str">
        <f t="shared" si="2"/>
        <v>0</v>
      </c>
      <c r="L26" s="59"/>
      <c r="M26" s="59" t="str">
        <f t="shared" si="3"/>
        <v>0</v>
      </c>
      <c r="N26" s="40">
        <f t="shared" si="18"/>
        <v>0</v>
      </c>
      <c r="O26" s="59"/>
      <c r="P26" s="59" t="str">
        <f t="shared" si="4"/>
        <v>0</v>
      </c>
      <c r="Q26" s="59"/>
      <c r="R26" s="59" t="str">
        <f t="shared" si="5"/>
        <v>0</v>
      </c>
      <c r="S26" s="59"/>
      <c r="T26" s="59" t="str">
        <f t="shared" si="6"/>
        <v>0</v>
      </c>
      <c r="U26" s="59"/>
      <c r="V26" s="59" t="str">
        <f t="shared" si="7"/>
        <v>0</v>
      </c>
      <c r="W26" s="59"/>
      <c r="X26" s="59" t="str">
        <f t="shared" si="8"/>
        <v>0</v>
      </c>
      <c r="Y26" s="59">
        <f t="shared" si="19"/>
        <v>0</v>
      </c>
      <c r="Z26" s="59"/>
      <c r="AA26" s="59" t="str">
        <f t="shared" si="9"/>
        <v>0</v>
      </c>
      <c r="AB26" s="59"/>
      <c r="AC26" s="59" t="str">
        <f t="shared" si="10"/>
        <v>0</v>
      </c>
      <c r="AD26" s="59"/>
      <c r="AE26" s="59" t="str">
        <f t="shared" si="11"/>
        <v>0</v>
      </c>
      <c r="AF26" s="59"/>
      <c r="AG26" s="59" t="str">
        <f t="shared" si="12"/>
        <v>0</v>
      </c>
      <c r="AH26" s="59"/>
      <c r="AI26" s="59" t="str">
        <f t="shared" si="13"/>
        <v>0</v>
      </c>
      <c r="AJ26" s="59"/>
      <c r="AK26" s="59" t="str">
        <f t="shared" si="14"/>
        <v>0</v>
      </c>
      <c r="AL26" s="59">
        <f t="shared" si="15"/>
        <v>0</v>
      </c>
      <c r="AM26" s="40" t="e">
        <f t="shared" si="20"/>
        <v>#DIV/0!</v>
      </c>
      <c r="AN26" s="162" t="e">
        <f t="shared" si="16"/>
        <v>#DIV/0!</v>
      </c>
      <c r="AO26" s="219" t="e">
        <f t="shared" si="26"/>
        <v>#DIV/0!</v>
      </c>
      <c r="AP26" s="59"/>
      <c r="AQ26" s="59" t="str">
        <f t="shared" si="22"/>
        <v>0</v>
      </c>
      <c r="AR26" s="59"/>
      <c r="AS26" s="59" t="str">
        <f t="shared" si="23"/>
        <v>0</v>
      </c>
      <c r="AT26" s="59"/>
      <c r="AU26" s="59" t="str">
        <f t="shared" si="24"/>
        <v>0</v>
      </c>
      <c r="AV26" s="40">
        <f t="shared" si="17"/>
        <v>0</v>
      </c>
      <c r="AW26" s="220" t="str">
        <f t="shared" si="25"/>
        <v>LOW</v>
      </c>
      <c r="AX26" s="60"/>
    </row>
    <row r="27" spans="2:50" s="43" customFormat="1">
      <c r="B27" s="64"/>
      <c r="C27" s="64"/>
      <c r="D27" s="64"/>
      <c r="E27" s="64"/>
      <c r="F27" s="65"/>
      <c r="G27" s="65"/>
      <c r="H27" s="65"/>
      <c r="I27" s="65"/>
      <c r="J27" s="65"/>
      <c r="K27" s="65"/>
      <c r="L27" s="65"/>
      <c r="M27" s="65"/>
      <c r="N27" s="67"/>
      <c r="O27" s="65"/>
      <c r="P27" s="65"/>
      <c r="Q27" s="65"/>
      <c r="R27" s="65"/>
      <c r="S27" s="65"/>
      <c r="T27" s="65"/>
      <c r="U27" s="65"/>
      <c r="V27" s="65"/>
      <c r="W27" s="65"/>
      <c r="X27" s="65"/>
      <c r="Y27" s="67"/>
      <c r="Z27" s="59"/>
      <c r="AA27" s="65"/>
      <c r="AB27" s="66"/>
      <c r="AC27" s="65"/>
      <c r="AD27" s="65"/>
      <c r="AE27" s="65"/>
      <c r="AF27" s="66"/>
      <c r="AG27" s="65"/>
      <c r="AH27" s="59"/>
      <c r="AI27" s="65"/>
      <c r="AJ27" s="66"/>
      <c r="AK27" s="66"/>
      <c r="AL27" s="67"/>
      <c r="AM27" s="67"/>
      <c r="AN27" s="68"/>
      <c r="AO27" s="163"/>
      <c r="AP27" s="67"/>
      <c r="AQ27" s="67"/>
      <c r="AR27" s="67"/>
      <c r="AS27" s="67"/>
      <c r="AT27" s="67"/>
      <c r="AU27" s="67"/>
      <c r="AV27" s="67"/>
      <c r="AW27" s="67"/>
      <c r="AX27" s="63"/>
    </row>
    <row r="28" spans="2:50" s="43" customFormat="1">
      <c r="B28" s="64"/>
      <c r="C28" s="64"/>
      <c r="D28" s="64"/>
      <c r="E28" s="64"/>
      <c r="F28" s="65"/>
      <c r="G28" s="65"/>
      <c r="H28" s="65"/>
      <c r="I28" s="65"/>
      <c r="J28" s="65"/>
      <c r="K28" s="65"/>
      <c r="L28" s="65"/>
      <c r="M28" s="65"/>
      <c r="N28" s="67"/>
      <c r="O28" s="65"/>
      <c r="P28" s="65"/>
      <c r="Q28" s="65"/>
      <c r="R28" s="65"/>
      <c r="S28" s="65"/>
      <c r="T28" s="65"/>
      <c r="U28" s="65"/>
      <c r="V28" s="65"/>
      <c r="W28" s="65"/>
      <c r="X28" s="65"/>
      <c r="Y28" s="67"/>
      <c r="Z28" s="66"/>
      <c r="AA28" s="65"/>
      <c r="AB28" s="66"/>
      <c r="AC28" s="65"/>
      <c r="AD28" s="65"/>
      <c r="AE28" s="65"/>
      <c r="AF28" s="66"/>
      <c r="AG28" s="65"/>
      <c r="AH28" s="59"/>
      <c r="AI28" s="65"/>
      <c r="AJ28" s="66"/>
      <c r="AK28" s="66"/>
      <c r="AL28" s="67"/>
      <c r="AM28" s="67"/>
      <c r="AN28" s="68"/>
      <c r="AO28" s="163"/>
      <c r="AP28" s="67"/>
      <c r="AQ28" s="67"/>
      <c r="AR28" s="67"/>
      <c r="AS28" s="67"/>
      <c r="AT28" s="67"/>
      <c r="AU28" s="67"/>
      <c r="AV28" s="67"/>
      <c r="AW28" s="67"/>
      <c r="AX28" s="63"/>
    </row>
    <row r="29" spans="2:50" s="43" customFormat="1">
      <c r="B29" s="64"/>
      <c r="C29" s="64"/>
      <c r="D29" s="64"/>
      <c r="E29" s="64"/>
      <c r="F29" s="65"/>
      <c r="G29" s="65"/>
      <c r="H29" s="65"/>
      <c r="I29" s="65"/>
      <c r="J29" s="65"/>
      <c r="K29" s="65"/>
      <c r="L29" s="65"/>
      <c r="M29" s="65"/>
      <c r="N29" s="67"/>
      <c r="O29" s="65"/>
      <c r="P29" s="65"/>
      <c r="Q29" s="65"/>
      <c r="R29" s="65"/>
      <c r="S29" s="65"/>
      <c r="T29" s="65"/>
      <c r="U29" s="65"/>
      <c r="V29" s="65"/>
      <c r="W29" s="65"/>
      <c r="X29" s="65"/>
      <c r="Y29" s="67"/>
      <c r="Z29" s="66"/>
      <c r="AA29" s="65"/>
      <c r="AB29" s="66"/>
      <c r="AC29" s="65"/>
      <c r="AD29" s="65"/>
      <c r="AE29" s="65"/>
      <c r="AF29" s="66"/>
      <c r="AG29" s="65"/>
      <c r="AH29" s="66"/>
      <c r="AI29" s="65"/>
      <c r="AJ29" s="66"/>
      <c r="AK29" s="66"/>
      <c r="AL29" s="67"/>
      <c r="AM29" s="67"/>
      <c r="AN29" s="68"/>
      <c r="AO29" s="163"/>
      <c r="AP29" s="67"/>
      <c r="AQ29" s="67"/>
      <c r="AR29" s="67"/>
      <c r="AS29" s="67"/>
      <c r="AT29" s="67"/>
      <c r="AU29" s="67"/>
      <c r="AV29" s="67"/>
      <c r="AW29" s="67"/>
      <c r="AX29" s="63"/>
    </row>
    <row r="30" spans="2:50" s="43" customFormat="1">
      <c r="B30" s="64"/>
      <c r="C30" s="64"/>
      <c r="D30" s="64"/>
      <c r="E30" s="64"/>
      <c r="F30" s="65"/>
      <c r="G30" s="65"/>
      <c r="H30" s="65"/>
      <c r="I30" s="65"/>
      <c r="J30" s="65"/>
      <c r="K30" s="65"/>
      <c r="L30" s="65"/>
      <c r="M30" s="65"/>
      <c r="N30" s="67"/>
      <c r="O30" s="65"/>
      <c r="P30" s="65"/>
      <c r="Q30" s="65"/>
      <c r="R30" s="65"/>
      <c r="S30" s="65"/>
      <c r="T30" s="65"/>
      <c r="U30" s="65"/>
      <c r="V30" s="65"/>
      <c r="W30" s="65"/>
      <c r="X30" s="65"/>
      <c r="Y30" s="67"/>
      <c r="Z30" s="66"/>
      <c r="AA30" s="65"/>
      <c r="AB30" s="66"/>
      <c r="AC30" s="65"/>
      <c r="AD30" s="65"/>
      <c r="AE30" s="65"/>
      <c r="AF30" s="66"/>
      <c r="AG30" s="65"/>
      <c r="AH30" s="66"/>
      <c r="AI30" s="65"/>
      <c r="AJ30" s="66"/>
      <c r="AK30" s="66"/>
      <c r="AL30" s="67"/>
      <c r="AM30" s="67"/>
      <c r="AN30" s="68"/>
      <c r="AO30" s="163"/>
      <c r="AP30" s="67"/>
      <c r="AQ30" s="67"/>
      <c r="AR30" s="67"/>
      <c r="AS30" s="67"/>
      <c r="AT30" s="67"/>
      <c r="AU30" s="67"/>
      <c r="AV30" s="67"/>
      <c r="AW30" s="67"/>
      <c r="AX30" s="63"/>
    </row>
    <row r="31" spans="2:50" s="43" customFormat="1">
      <c r="B31" s="64"/>
      <c r="C31" s="64"/>
      <c r="D31" s="64"/>
      <c r="E31" s="64"/>
      <c r="F31" s="65"/>
      <c r="G31" s="65"/>
      <c r="H31" s="65"/>
      <c r="I31" s="65"/>
      <c r="J31" s="65"/>
      <c r="K31" s="65"/>
      <c r="L31" s="65"/>
      <c r="M31" s="65"/>
      <c r="N31" s="67"/>
      <c r="O31" s="65"/>
      <c r="P31" s="65"/>
      <c r="Q31" s="65"/>
      <c r="R31" s="65"/>
      <c r="S31" s="65"/>
      <c r="T31" s="65"/>
      <c r="U31" s="65"/>
      <c r="V31" s="65"/>
      <c r="W31" s="65"/>
      <c r="X31" s="65"/>
      <c r="Y31" s="67"/>
      <c r="Z31" s="66"/>
      <c r="AA31" s="65"/>
      <c r="AB31" s="66"/>
      <c r="AC31" s="65"/>
      <c r="AD31" s="65"/>
      <c r="AE31" s="65"/>
      <c r="AF31" s="66"/>
      <c r="AG31" s="65"/>
      <c r="AH31" s="66"/>
      <c r="AI31" s="65"/>
      <c r="AJ31" s="66"/>
      <c r="AK31" s="66"/>
      <c r="AL31" s="67"/>
      <c r="AM31" s="67"/>
      <c r="AN31" s="68"/>
      <c r="AO31" s="163"/>
      <c r="AP31" s="67"/>
      <c r="AQ31" s="67"/>
      <c r="AR31" s="67"/>
      <c r="AS31" s="67"/>
      <c r="AT31" s="67"/>
      <c r="AU31" s="67"/>
      <c r="AV31" s="67"/>
      <c r="AW31" s="67"/>
      <c r="AX31" s="63"/>
    </row>
    <row r="32" spans="2:50" s="43" customFormat="1">
      <c r="B32" s="64"/>
      <c r="C32" s="64"/>
      <c r="D32" s="64"/>
      <c r="E32" s="64"/>
      <c r="F32" s="65"/>
      <c r="G32" s="65"/>
      <c r="H32" s="65"/>
      <c r="I32" s="65"/>
      <c r="J32" s="65"/>
      <c r="K32" s="65"/>
      <c r="L32" s="65"/>
      <c r="M32" s="65"/>
      <c r="N32" s="67"/>
      <c r="O32" s="65"/>
      <c r="P32" s="65"/>
      <c r="Q32" s="65"/>
      <c r="R32" s="65"/>
      <c r="S32" s="65"/>
      <c r="T32" s="65"/>
      <c r="U32" s="65"/>
      <c r="V32" s="65"/>
      <c r="W32" s="65"/>
      <c r="X32" s="65"/>
      <c r="Y32" s="67"/>
      <c r="Z32" s="66"/>
      <c r="AA32" s="65"/>
      <c r="AB32" s="66"/>
      <c r="AC32" s="65"/>
      <c r="AD32" s="65"/>
      <c r="AE32" s="65"/>
      <c r="AF32" s="66"/>
      <c r="AG32" s="65"/>
      <c r="AH32" s="66"/>
      <c r="AI32" s="65"/>
      <c r="AJ32" s="66"/>
      <c r="AK32" s="66"/>
      <c r="AL32" s="67"/>
      <c r="AM32" s="67"/>
      <c r="AN32" s="68"/>
      <c r="AO32" s="163"/>
      <c r="AP32" s="67"/>
      <c r="AQ32" s="67"/>
      <c r="AR32" s="67"/>
      <c r="AS32" s="67"/>
      <c r="AT32" s="67"/>
      <c r="AU32" s="67"/>
      <c r="AV32" s="67"/>
      <c r="AW32" s="67"/>
      <c r="AX32" s="63"/>
    </row>
    <row r="33" spans="1:50" s="43" customFormat="1">
      <c r="B33" s="64"/>
      <c r="C33" s="64"/>
      <c r="D33" s="64"/>
      <c r="E33" s="64"/>
      <c r="F33" s="65"/>
      <c r="G33" s="65"/>
      <c r="H33" s="65"/>
      <c r="I33" s="65"/>
      <c r="J33" s="65"/>
      <c r="K33" s="65"/>
      <c r="L33" s="65"/>
      <c r="M33" s="65"/>
      <c r="N33" s="67"/>
      <c r="O33" s="65"/>
      <c r="P33" s="65"/>
      <c r="Q33" s="65"/>
      <c r="R33" s="65"/>
      <c r="S33" s="65"/>
      <c r="T33" s="65"/>
      <c r="U33" s="65"/>
      <c r="V33" s="65"/>
      <c r="W33" s="65"/>
      <c r="X33" s="65"/>
      <c r="Y33" s="67"/>
      <c r="Z33" s="66"/>
      <c r="AA33" s="65"/>
      <c r="AB33" s="66"/>
      <c r="AC33" s="65"/>
      <c r="AD33" s="65"/>
      <c r="AE33" s="65"/>
      <c r="AF33" s="66"/>
      <c r="AG33" s="65"/>
      <c r="AH33" s="66"/>
      <c r="AI33" s="65"/>
      <c r="AJ33" s="66"/>
      <c r="AK33" s="66"/>
      <c r="AL33" s="67"/>
      <c r="AM33" s="67"/>
      <c r="AN33" s="68"/>
      <c r="AO33" s="163"/>
      <c r="AP33" s="67"/>
      <c r="AQ33" s="67"/>
      <c r="AR33" s="67"/>
      <c r="AS33" s="67"/>
      <c r="AT33" s="67"/>
      <c r="AU33" s="67"/>
      <c r="AV33" s="67"/>
      <c r="AW33" s="67"/>
      <c r="AX33" s="63"/>
    </row>
    <row r="34" spans="1:50" s="43" customFormat="1">
      <c r="B34" s="64"/>
      <c r="C34" s="64"/>
      <c r="D34" s="64"/>
      <c r="E34" s="64"/>
      <c r="F34" s="65"/>
      <c r="G34" s="65"/>
      <c r="H34" s="65"/>
      <c r="I34" s="65"/>
      <c r="J34" s="65"/>
      <c r="K34" s="65"/>
      <c r="L34" s="65"/>
      <c r="M34" s="65"/>
      <c r="N34" s="67"/>
      <c r="O34" s="65"/>
      <c r="P34" s="65"/>
      <c r="Q34" s="65"/>
      <c r="R34" s="65"/>
      <c r="S34" s="65"/>
      <c r="T34" s="65"/>
      <c r="U34" s="65"/>
      <c r="V34" s="65"/>
      <c r="W34" s="65"/>
      <c r="X34" s="65"/>
      <c r="Y34" s="67"/>
      <c r="Z34" s="66"/>
      <c r="AA34" s="65"/>
      <c r="AB34" s="66"/>
      <c r="AC34" s="65"/>
      <c r="AD34" s="65"/>
      <c r="AE34" s="65"/>
      <c r="AF34" s="66"/>
      <c r="AG34" s="65"/>
      <c r="AH34" s="66"/>
      <c r="AI34" s="65"/>
      <c r="AJ34" s="66"/>
      <c r="AK34" s="66"/>
      <c r="AL34" s="67"/>
      <c r="AM34" s="67"/>
      <c r="AN34" s="68"/>
      <c r="AO34" s="163"/>
      <c r="AP34" s="67"/>
      <c r="AQ34" s="67"/>
      <c r="AR34" s="67"/>
      <c r="AS34" s="67"/>
      <c r="AT34" s="67"/>
      <c r="AU34" s="67"/>
      <c r="AV34" s="67"/>
      <c r="AW34" s="67"/>
      <c r="AX34" s="63"/>
    </row>
    <row r="35" spans="1:50" s="43" customFormat="1">
      <c r="B35" s="64"/>
      <c r="C35" s="64"/>
      <c r="D35" s="64"/>
      <c r="E35" s="64"/>
      <c r="F35" s="65"/>
      <c r="G35" s="65"/>
      <c r="H35" s="65"/>
      <c r="I35" s="65"/>
      <c r="J35" s="65"/>
      <c r="K35" s="65"/>
      <c r="L35" s="65"/>
      <c r="M35" s="65"/>
      <c r="N35" s="67"/>
      <c r="O35" s="65"/>
      <c r="P35" s="65"/>
      <c r="Q35" s="65"/>
      <c r="R35" s="65"/>
      <c r="S35" s="65"/>
      <c r="T35" s="65"/>
      <c r="U35" s="65"/>
      <c r="V35" s="65"/>
      <c r="W35" s="65"/>
      <c r="X35" s="65"/>
      <c r="Y35" s="67"/>
      <c r="Z35" s="66"/>
      <c r="AA35" s="65"/>
      <c r="AB35" s="66"/>
      <c r="AC35" s="65"/>
      <c r="AD35" s="65"/>
      <c r="AE35" s="65"/>
      <c r="AF35" s="66"/>
      <c r="AG35" s="65"/>
      <c r="AH35" s="66"/>
      <c r="AI35" s="65"/>
      <c r="AJ35" s="66"/>
      <c r="AK35" s="66"/>
      <c r="AL35" s="67"/>
      <c r="AM35" s="67"/>
      <c r="AN35" s="68"/>
      <c r="AO35" s="163"/>
      <c r="AP35" s="67"/>
      <c r="AQ35" s="67"/>
      <c r="AR35" s="67"/>
      <c r="AS35" s="67"/>
      <c r="AT35" s="67"/>
      <c r="AU35" s="67"/>
      <c r="AV35" s="67"/>
      <c r="AW35" s="67"/>
      <c r="AX35" s="63"/>
    </row>
    <row r="36" spans="1:50" s="43" customFormat="1">
      <c r="B36" s="64"/>
      <c r="C36" s="64"/>
      <c r="D36" s="64"/>
      <c r="E36" s="64"/>
      <c r="F36" s="65"/>
      <c r="G36" s="65"/>
      <c r="H36" s="65"/>
      <c r="I36" s="65"/>
      <c r="J36" s="65"/>
      <c r="K36" s="65"/>
      <c r="L36" s="65"/>
      <c r="M36" s="65"/>
      <c r="N36" s="67"/>
      <c r="O36" s="65"/>
      <c r="P36" s="65"/>
      <c r="Q36" s="65"/>
      <c r="R36" s="65"/>
      <c r="S36" s="65"/>
      <c r="T36" s="65"/>
      <c r="U36" s="65"/>
      <c r="V36" s="65"/>
      <c r="W36" s="65"/>
      <c r="X36" s="65"/>
      <c r="Y36" s="67"/>
      <c r="Z36" s="66"/>
      <c r="AA36" s="65"/>
      <c r="AB36" s="66"/>
      <c r="AC36" s="65"/>
      <c r="AD36" s="65"/>
      <c r="AE36" s="65"/>
      <c r="AF36" s="66"/>
      <c r="AG36" s="65"/>
      <c r="AH36" s="66"/>
      <c r="AI36" s="65"/>
      <c r="AJ36" s="66"/>
      <c r="AK36" s="66"/>
      <c r="AL36" s="67"/>
      <c r="AM36" s="67"/>
      <c r="AN36" s="68"/>
      <c r="AO36" s="163"/>
      <c r="AP36" s="67"/>
      <c r="AQ36" s="67"/>
      <c r="AR36" s="67"/>
      <c r="AS36" s="67"/>
      <c r="AT36" s="67"/>
      <c r="AU36" s="67"/>
      <c r="AV36" s="67"/>
      <c r="AW36" s="67"/>
      <c r="AX36" s="63"/>
    </row>
    <row r="37" spans="1:50" s="43" customFormat="1">
      <c r="B37" s="64"/>
      <c r="C37" s="64"/>
      <c r="D37" s="64"/>
      <c r="E37" s="64"/>
      <c r="F37" s="65"/>
      <c r="G37" s="65"/>
      <c r="H37" s="65"/>
      <c r="I37" s="65"/>
      <c r="J37" s="65"/>
      <c r="K37" s="65"/>
      <c r="L37" s="65"/>
      <c r="M37" s="65"/>
      <c r="N37" s="67"/>
      <c r="O37" s="65"/>
      <c r="P37" s="65"/>
      <c r="Q37" s="65"/>
      <c r="R37" s="65"/>
      <c r="S37" s="65"/>
      <c r="T37" s="65"/>
      <c r="U37" s="65"/>
      <c r="V37" s="65"/>
      <c r="W37" s="65"/>
      <c r="X37" s="65"/>
      <c r="Y37" s="67"/>
      <c r="Z37" s="66"/>
      <c r="AA37" s="65"/>
      <c r="AB37" s="66"/>
      <c r="AC37" s="65"/>
      <c r="AD37" s="65"/>
      <c r="AE37" s="65"/>
      <c r="AF37" s="66"/>
      <c r="AG37" s="65"/>
      <c r="AH37" s="66"/>
      <c r="AI37" s="65"/>
      <c r="AJ37" s="66"/>
      <c r="AK37" s="66"/>
      <c r="AL37" s="67"/>
      <c r="AM37" s="67"/>
      <c r="AN37" s="68"/>
      <c r="AO37" s="163"/>
      <c r="AP37" s="67"/>
      <c r="AQ37" s="67"/>
      <c r="AR37" s="67"/>
      <c r="AS37" s="67"/>
      <c r="AT37" s="67"/>
      <c r="AU37" s="67"/>
      <c r="AV37" s="67"/>
      <c r="AW37" s="67"/>
      <c r="AX37" s="63"/>
    </row>
    <row r="38" spans="1:50" s="75" customFormat="1">
      <c r="A38" s="42"/>
      <c r="B38" s="64"/>
      <c r="C38" s="69"/>
      <c r="D38" s="69"/>
      <c r="E38" s="69"/>
      <c r="F38" s="70"/>
      <c r="G38" s="70"/>
      <c r="H38" s="70"/>
      <c r="I38" s="70"/>
      <c r="J38" s="70"/>
      <c r="K38" s="70"/>
      <c r="L38" s="70"/>
      <c r="M38" s="70"/>
      <c r="N38" s="71"/>
      <c r="O38" s="70"/>
      <c r="P38" s="70"/>
      <c r="Q38" s="70"/>
      <c r="R38" s="70"/>
      <c r="S38" s="70"/>
      <c r="T38" s="70"/>
      <c r="U38" s="70"/>
      <c r="V38" s="70"/>
      <c r="W38" s="70"/>
      <c r="X38" s="70"/>
      <c r="Y38" s="71"/>
      <c r="Z38" s="72"/>
      <c r="AA38" s="70"/>
      <c r="AB38" s="72"/>
      <c r="AC38" s="70"/>
      <c r="AD38" s="70"/>
      <c r="AE38" s="70"/>
      <c r="AF38" s="72"/>
      <c r="AG38" s="70"/>
      <c r="AH38" s="72"/>
      <c r="AI38" s="70"/>
      <c r="AJ38" s="72"/>
      <c r="AK38" s="72"/>
      <c r="AL38" s="71"/>
      <c r="AM38" s="71"/>
      <c r="AN38" s="73"/>
      <c r="AO38" s="164"/>
      <c r="AP38" s="71"/>
      <c r="AQ38" s="71"/>
      <c r="AR38" s="71"/>
      <c r="AS38" s="71"/>
      <c r="AT38" s="71"/>
      <c r="AU38" s="71"/>
      <c r="AV38" s="71"/>
      <c r="AW38" s="71"/>
      <c r="AX38" s="74"/>
    </row>
    <row r="39" spans="1:50" s="75" customFormat="1">
      <c r="A39" s="42"/>
      <c r="B39" s="64"/>
      <c r="C39" s="69"/>
      <c r="D39" s="69"/>
      <c r="E39" s="69"/>
      <c r="F39" s="70"/>
      <c r="G39" s="70"/>
      <c r="H39" s="70"/>
      <c r="I39" s="70"/>
      <c r="J39" s="70"/>
      <c r="K39" s="70"/>
      <c r="L39" s="70"/>
      <c r="M39" s="70"/>
      <c r="N39" s="71"/>
      <c r="O39" s="70"/>
      <c r="P39" s="70"/>
      <c r="Q39" s="70"/>
      <c r="R39" s="70"/>
      <c r="S39" s="70"/>
      <c r="T39" s="70"/>
      <c r="U39" s="70"/>
      <c r="V39" s="70"/>
      <c r="W39" s="70"/>
      <c r="X39" s="70"/>
      <c r="Y39" s="71"/>
      <c r="Z39" s="72"/>
      <c r="AA39" s="70"/>
      <c r="AB39" s="72"/>
      <c r="AC39" s="70"/>
      <c r="AD39" s="70"/>
      <c r="AE39" s="70"/>
      <c r="AF39" s="72"/>
      <c r="AG39" s="70"/>
      <c r="AH39" s="72"/>
      <c r="AI39" s="70"/>
      <c r="AJ39" s="72"/>
      <c r="AK39" s="72"/>
      <c r="AL39" s="71"/>
      <c r="AM39" s="71"/>
      <c r="AN39" s="73"/>
      <c r="AO39" s="164"/>
      <c r="AP39" s="71"/>
      <c r="AQ39" s="71"/>
      <c r="AR39" s="71"/>
      <c r="AS39" s="71"/>
      <c r="AT39" s="71"/>
      <c r="AU39" s="71"/>
      <c r="AV39" s="71"/>
      <c r="AW39" s="71"/>
      <c r="AX39" s="74"/>
    </row>
    <row r="40" spans="1:50" ht="21" customHeight="1">
      <c r="B40" s="69"/>
      <c r="C40" s="69"/>
      <c r="D40" s="69"/>
      <c r="E40" s="69"/>
      <c r="F40" s="70"/>
      <c r="G40" s="70"/>
      <c r="H40" s="70"/>
      <c r="I40" s="70"/>
      <c r="J40" s="70"/>
      <c r="K40" s="70"/>
      <c r="L40" s="70"/>
      <c r="M40" s="70"/>
      <c r="N40" s="71"/>
      <c r="O40" s="70"/>
      <c r="P40" s="70"/>
      <c r="Q40" s="70"/>
      <c r="R40" s="70"/>
      <c r="S40" s="70"/>
      <c r="T40" s="70"/>
      <c r="U40" s="70"/>
      <c r="V40" s="70"/>
      <c r="W40" s="70"/>
      <c r="X40" s="70"/>
      <c r="Y40" s="71"/>
      <c r="Z40" s="72"/>
      <c r="AA40" s="70"/>
      <c r="AB40" s="72"/>
      <c r="AC40" s="70"/>
      <c r="AD40" s="70"/>
      <c r="AE40" s="70"/>
      <c r="AF40" s="72"/>
      <c r="AG40" s="70"/>
      <c r="AH40" s="72"/>
      <c r="AI40" s="70"/>
      <c r="AJ40" s="72"/>
      <c r="AK40" s="72"/>
      <c r="AL40" s="71"/>
      <c r="AM40" s="71"/>
      <c r="AN40" s="73"/>
      <c r="AO40" s="164"/>
      <c r="AP40" s="71"/>
      <c r="AQ40" s="71"/>
      <c r="AR40" s="71"/>
      <c r="AS40" s="71"/>
      <c r="AT40" s="71"/>
      <c r="AU40" s="71"/>
      <c r="AV40" s="71"/>
      <c r="AW40" s="71"/>
      <c r="AX40" s="74"/>
    </row>
    <row r="41" spans="1:50" ht="17.25" customHeight="1">
      <c r="B41" s="69"/>
      <c r="C41" s="69"/>
      <c r="D41" s="69"/>
      <c r="E41" s="69"/>
      <c r="F41" s="70"/>
      <c r="G41" s="70"/>
      <c r="H41" s="70"/>
      <c r="I41" s="70"/>
      <c r="J41" s="70"/>
      <c r="K41" s="70"/>
      <c r="L41" s="70"/>
      <c r="M41" s="70"/>
      <c r="N41" s="71"/>
      <c r="O41" s="70"/>
      <c r="P41" s="70"/>
      <c r="Q41" s="70"/>
      <c r="R41" s="70"/>
      <c r="S41" s="70"/>
      <c r="T41" s="70"/>
      <c r="U41" s="70"/>
      <c r="V41" s="70"/>
      <c r="W41" s="70"/>
      <c r="X41" s="70"/>
      <c r="Y41" s="71"/>
      <c r="Z41" s="72"/>
      <c r="AA41" s="70"/>
      <c r="AB41" s="72"/>
      <c r="AC41" s="70"/>
      <c r="AD41" s="70"/>
      <c r="AE41" s="70"/>
      <c r="AF41" s="72"/>
      <c r="AG41" s="70"/>
      <c r="AH41" s="72"/>
      <c r="AI41" s="70"/>
      <c r="AJ41" s="72"/>
      <c r="AK41" s="72"/>
      <c r="AL41" s="71"/>
      <c r="AM41" s="71"/>
      <c r="AN41" s="73"/>
      <c r="AO41" s="164"/>
      <c r="AP41" s="71"/>
      <c r="AQ41" s="71"/>
      <c r="AR41" s="71"/>
      <c r="AS41" s="71"/>
      <c r="AT41" s="71"/>
      <c r="AU41" s="71"/>
      <c r="AV41" s="71"/>
      <c r="AW41" s="71"/>
      <c r="AX41" s="74"/>
    </row>
    <row r="42" spans="1:50" ht="22.5" customHeight="1">
      <c r="B42" s="64"/>
      <c r="C42" s="69"/>
      <c r="D42" s="69"/>
      <c r="E42" s="69"/>
      <c r="F42" s="70"/>
      <c r="G42" s="70"/>
      <c r="H42" s="70"/>
      <c r="I42" s="70"/>
      <c r="J42" s="70"/>
      <c r="K42" s="70"/>
      <c r="L42" s="70"/>
      <c r="M42" s="70"/>
      <c r="N42" s="71"/>
      <c r="O42" s="70"/>
      <c r="P42" s="70"/>
      <c r="Q42" s="70"/>
      <c r="R42" s="70"/>
      <c r="S42" s="70"/>
      <c r="T42" s="70"/>
      <c r="U42" s="70"/>
      <c r="V42" s="70"/>
      <c r="W42" s="70"/>
      <c r="X42" s="70"/>
      <c r="Y42" s="71"/>
      <c r="Z42" s="72"/>
      <c r="AA42" s="70"/>
      <c r="AB42" s="72"/>
      <c r="AC42" s="70"/>
      <c r="AD42" s="70"/>
      <c r="AE42" s="70"/>
      <c r="AF42" s="72"/>
      <c r="AG42" s="70"/>
      <c r="AH42" s="72"/>
      <c r="AI42" s="70"/>
      <c r="AJ42" s="72"/>
      <c r="AK42" s="72"/>
      <c r="AL42" s="71"/>
      <c r="AM42" s="71"/>
      <c r="AN42" s="73"/>
      <c r="AO42" s="164"/>
      <c r="AP42" s="71"/>
      <c r="AQ42" s="71"/>
      <c r="AR42" s="71"/>
      <c r="AS42" s="71"/>
      <c r="AT42" s="71"/>
      <c r="AU42" s="71"/>
      <c r="AV42" s="71"/>
      <c r="AW42" s="71"/>
      <c r="AX42" s="74"/>
    </row>
    <row r="43" spans="1:50" ht="15.75" customHeight="1">
      <c r="B43" s="69"/>
      <c r="C43" s="69"/>
      <c r="D43" s="69"/>
      <c r="E43" s="69"/>
      <c r="F43" s="70"/>
      <c r="G43" s="70"/>
      <c r="H43" s="70"/>
      <c r="I43" s="70"/>
      <c r="J43" s="70"/>
      <c r="K43" s="70"/>
      <c r="L43" s="70"/>
      <c r="M43" s="70"/>
      <c r="N43" s="71"/>
      <c r="O43" s="70"/>
      <c r="P43" s="70"/>
      <c r="Q43" s="70"/>
      <c r="R43" s="70"/>
      <c r="S43" s="70"/>
      <c r="T43" s="70"/>
      <c r="U43" s="70"/>
      <c r="V43" s="70"/>
      <c r="W43" s="70"/>
      <c r="X43" s="70"/>
      <c r="Y43" s="71"/>
      <c r="Z43" s="72"/>
      <c r="AA43" s="70"/>
      <c r="AB43" s="72"/>
      <c r="AC43" s="70"/>
      <c r="AD43" s="70"/>
      <c r="AE43" s="70"/>
      <c r="AF43" s="72"/>
      <c r="AG43" s="70"/>
      <c r="AH43" s="72"/>
      <c r="AI43" s="70"/>
      <c r="AJ43" s="72"/>
      <c r="AK43" s="72"/>
      <c r="AL43" s="71"/>
      <c r="AM43" s="71"/>
      <c r="AN43" s="73"/>
      <c r="AO43" s="164"/>
      <c r="AP43" s="71"/>
      <c r="AQ43" s="71"/>
      <c r="AR43" s="71"/>
      <c r="AS43" s="71"/>
      <c r="AT43" s="71"/>
      <c r="AU43" s="71"/>
      <c r="AV43" s="71"/>
      <c r="AW43" s="71"/>
      <c r="AX43" s="74"/>
    </row>
    <row r="44" spans="1:50" ht="19.5" customHeight="1">
      <c r="B44" s="64"/>
      <c r="C44" s="69"/>
      <c r="D44" s="69"/>
      <c r="E44" s="69"/>
      <c r="F44" s="70"/>
      <c r="G44" s="70"/>
      <c r="H44" s="70"/>
      <c r="I44" s="70"/>
      <c r="J44" s="70"/>
      <c r="K44" s="70"/>
      <c r="L44" s="70"/>
      <c r="M44" s="70"/>
      <c r="N44" s="71"/>
      <c r="O44" s="70"/>
      <c r="P44" s="70"/>
      <c r="Q44" s="70"/>
      <c r="R44" s="70"/>
      <c r="S44" s="70"/>
      <c r="T44" s="70"/>
      <c r="U44" s="70"/>
      <c r="V44" s="70"/>
      <c r="W44" s="70"/>
      <c r="X44" s="70"/>
      <c r="Y44" s="71"/>
      <c r="Z44" s="72"/>
      <c r="AA44" s="70"/>
      <c r="AB44" s="72"/>
      <c r="AC44" s="70"/>
      <c r="AD44" s="70"/>
      <c r="AE44" s="70"/>
      <c r="AF44" s="72"/>
      <c r="AG44" s="70"/>
      <c r="AH44" s="72"/>
      <c r="AI44" s="70"/>
      <c r="AJ44" s="72"/>
      <c r="AK44" s="72"/>
      <c r="AL44" s="71"/>
      <c r="AM44" s="71"/>
      <c r="AN44" s="73"/>
      <c r="AO44" s="164"/>
      <c r="AP44" s="71"/>
      <c r="AQ44" s="71"/>
      <c r="AR44" s="71"/>
      <c r="AS44" s="71"/>
      <c r="AT44" s="71"/>
      <c r="AU44" s="71"/>
      <c r="AV44" s="71"/>
      <c r="AW44" s="71"/>
      <c r="AX44" s="74"/>
    </row>
    <row r="45" spans="1:50">
      <c r="B45" s="64"/>
      <c r="C45" s="69"/>
      <c r="D45" s="69"/>
      <c r="E45" s="69"/>
      <c r="F45" s="70"/>
      <c r="G45" s="70"/>
      <c r="H45" s="70"/>
      <c r="I45" s="70"/>
      <c r="J45" s="70"/>
      <c r="K45" s="70"/>
      <c r="L45" s="70"/>
      <c r="M45" s="70"/>
      <c r="N45" s="71"/>
      <c r="O45" s="70"/>
      <c r="P45" s="70"/>
      <c r="Q45" s="70"/>
      <c r="R45" s="70"/>
      <c r="S45" s="70"/>
      <c r="T45" s="70"/>
      <c r="U45" s="70"/>
      <c r="V45" s="70"/>
      <c r="W45" s="70"/>
      <c r="X45" s="70"/>
      <c r="Y45" s="71"/>
      <c r="Z45" s="72"/>
      <c r="AA45" s="70"/>
      <c r="AB45" s="72"/>
      <c r="AC45" s="70"/>
      <c r="AD45" s="70"/>
      <c r="AE45" s="70"/>
      <c r="AF45" s="72"/>
      <c r="AG45" s="70"/>
      <c r="AH45" s="72"/>
      <c r="AI45" s="70"/>
      <c r="AJ45" s="72"/>
      <c r="AK45" s="72"/>
      <c r="AL45" s="71"/>
      <c r="AM45" s="71"/>
      <c r="AN45" s="73"/>
      <c r="AO45" s="164"/>
      <c r="AP45" s="71"/>
      <c r="AQ45" s="71"/>
      <c r="AR45" s="71"/>
      <c r="AS45" s="71"/>
      <c r="AT45" s="71"/>
      <c r="AU45" s="71"/>
      <c r="AV45" s="71"/>
      <c r="AW45" s="71"/>
      <c r="AX45" s="74"/>
    </row>
    <row r="46" spans="1:50">
      <c r="B46" s="64"/>
      <c r="C46" s="69"/>
      <c r="D46" s="69"/>
      <c r="E46" s="69"/>
      <c r="F46" s="70"/>
      <c r="G46" s="70"/>
      <c r="H46" s="70"/>
      <c r="I46" s="70"/>
      <c r="J46" s="70"/>
      <c r="K46" s="70"/>
      <c r="L46" s="70"/>
      <c r="M46" s="70"/>
      <c r="N46" s="71"/>
      <c r="O46" s="70"/>
      <c r="P46" s="70"/>
      <c r="Q46" s="70"/>
      <c r="R46" s="70"/>
      <c r="S46" s="70"/>
      <c r="T46" s="70"/>
      <c r="U46" s="70"/>
      <c r="V46" s="70"/>
      <c r="W46" s="70"/>
      <c r="X46" s="70"/>
      <c r="Y46" s="71"/>
      <c r="Z46" s="72"/>
      <c r="AA46" s="70"/>
      <c r="AB46" s="72"/>
      <c r="AC46" s="70"/>
      <c r="AD46" s="70"/>
      <c r="AE46" s="70"/>
      <c r="AF46" s="72"/>
      <c r="AG46" s="70"/>
      <c r="AH46" s="72"/>
      <c r="AI46" s="70"/>
      <c r="AJ46" s="72"/>
      <c r="AK46" s="72"/>
      <c r="AL46" s="71"/>
      <c r="AM46" s="71"/>
      <c r="AN46" s="73"/>
      <c r="AO46" s="164"/>
      <c r="AP46" s="71"/>
      <c r="AQ46" s="71"/>
      <c r="AR46" s="71"/>
      <c r="AS46" s="71"/>
      <c r="AT46" s="71"/>
      <c r="AU46" s="71"/>
      <c r="AV46" s="71"/>
      <c r="AW46" s="71"/>
      <c r="AX46" s="74"/>
    </row>
    <row r="47" spans="1:50" ht="19.5" customHeight="1">
      <c r="B47" s="64"/>
      <c r="C47" s="69"/>
      <c r="D47" s="69"/>
      <c r="E47" s="69"/>
      <c r="F47" s="70"/>
      <c r="G47" s="70"/>
      <c r="H47" s="70"/>
      <c r="I47" s="70"/>
      <c r="J47" s="70"/>
      <c r="K47" s="70"/>
      <c r="L47" s="70"/>
      <c r="M47" s="70"/>
      <c r="N47" s="71"/>
      <c r="O47" s="70"/>
      <c r="P47" s="70"/>
      <c r="Q47" s="70"/>
      <c r="R47" s="70"/>
      <c r="S47" s="70"/>
      <c r="T47" s="70"/>
      <c r="U47" s="70"/>
      <c r="V47" s="70"/>
      <c r="W47" s="70"/>
      <c r="X47" s="70"/>
      <c r="Y47" s="71"/>
      <c r="Z47" s="72"/>
      <c r="AA47" s="70"/>
      <c r="AB47" s="72"/>
      <c r="AC47" s="70"/>
      <c r="AD47" s="70"/>
      <c r="AE47" s="70"/>
      <c r="AF47" s="72"/>
      <c r="AG47" s="70"/>
      <c r="AH47" s="72"/>
      <c r="AI47" s="70"/>
      <c r="AJ47" s="72"/>
      <c r="AK47" s="72"/>
      <c r="AL47" s="71"/>
      <c r="AM47" s="71"/>
      <c r="AN47" s="73"/>
      <c r="AO47" s="164"/>
      <c r="AP47" s="71"/>
      <c r="AQ47" s="71"/>
      <c r="AR47" s="71"/>
      <c r="AS47" s="71"/>
      <c r="AT47" s="71"/>
      <c r="AU47" s="71"/>
      <c r="AV47" s="71"/>
      <c r="AW47" s="71"/>
      <c r="AX47" s="74"/>
    </row>
    <row r="48" spans="1:50" ht="18.75" customHeight="1">
      <c r="B48" s="64"/>
      <c r="C48" s="69"/>
      <c r="D48" s="69"/>
      <c r="E48" s="69"/>
      <c r="F48" s="70"/>
      <c r="G48" s="70"/>
      <c r="H48" s="70"/>
      <c r="I48" s="70"/>
      <c r="J48" s="70"/>
      <c r="K48" s="70"/>
      <c r="L48" s="70"/>
      <c r="M48" s="70"/>
      <c r="N48" s="71"/>
      <c r="O48" s="70"/>
      <c r="P48" s="70"/>
      <c r="Q48" s="70"/>
      <c r="R48" s="70"/>
      <c r="S48" s="70"/>
      <c r="T48" s="70"/>
      <c r="U48" s="70"/>
      <c r="V48" s="70"/>
      <c r="W48" s="70"/>
      <c r="X48" s="70"/>
      <c r="Y48" s="71"/>
      <c r="Z48" s="72"/>
      <c r="AA48" s="70"/>
      <c r="AB48" s="72"/>
      <c r="AC48" s="70"/>
      <c r="AD48" s="70"/>
      <c r="AE48" s="70"/>
      <c r="AF48" s="72"/>
      <c r="AG48" s="70"/>
      <c r="AH48" s="72"/>
      <c r="AI48" s="70"/>
      <c r="AJ48" s="72"/>
      <c r="AK48" s="72"/>
      <c r="AL48" s="71"/>
      <c r="AM48" s="71"/>
      <c r="AN48" s="73"/>
      <c r="AO48" s="164"/>
      <c r="AP48" s="71"/>
      <c r="AQ48" s="71"/>
      <c r="AR48" s="71"/>
      <c r="AS48" s="71"/>
      <c r="AT48" s="71"/>
      <c r="AU48" s="71"/>
      <c r="AV48" s="71"/>
      <c r="AW48" s="71"/>
      <c r="AX48" s="74"/>
    </row>
    <row r="49" spans="2:50">
      <c r="B49" s="64"/>
      <c r="C49" s="69"/>
      <c r="D49" s="69"/>
      <c r="E49" s="69"/>
      <c r="F49" s="70"/>
      <c r="G49" s="70"/>
      <c r="H49" s="70"/>
      <c r="I49" s="70"/>
      <c r="J49" s="70"/>
      <c r="K49" s="70"/>
      <c r="L49" s="70"/>
      <c r="M49" s="70"/>
      <c r="N49" s="71"/>
      <c r="O49" s="70"/>
      <c r="P49" s="70"/>
      <c r="Q49" s="70"/>
      <c r="R49" s="70"/>
      <c r="S49" s="70"/>
      <c r="T49" s="70"/>
      <c r="U49" s="70"/>
      <c r="V49" s="70"/>
      <c r="W49" s="70"/>
      <c r="X49" s="70"/>
      <c r="Y49" s="71"/>
      <c r="Z49" s="72"/>
      <c r="AA49" s="70"/>
      <c r="AB49" s="72"/>
      <c r="AC49" s="70"/>
      <c r="AD49" s="70"/>
      <c r="AE49" s="70"/>
      <c r="AF49" s="72"/>
      <c r="AG49" s="70"/>
      <c r="AH49" s="72"/>
      <c r="AI49" s="70"/>
      <c r="AJ49" s="72"/>
      <c r="AK49" s="72"/>
      <c r="AL49" s="71"/>
      <c r="AM49" s="71"/>
      <c r="AN49" s="73"/>
      <c r="AO49" s="164"/>
      <c r="AP49" s="71"/>
      <c r="AQ49" s="71"/>
      <c r="AR49" s="71"/>
      <c r="AS49" s="71"/>
      <c r="AT49" s="71"/>
      <c r="AU49" s="71"/>
      <c r="AV49" s="71"/>
      <c r="AW49" s="71"/>
      <c r="AX49" s="74"/>
    </row>
    <row r="50" spans="2:50">
      <c r="B50" s="76"/>
      <c r="C50" s="76"/>
      <c r="D50" s="76"/>
      <c r="E50" s="76"/>
      <c r="F50" s="70"/>
      <c r="G50" s="70"/>
      <c r="H50" s="70"/>
      <c r="I50" s="70"/>
      <c r="J50" s="70"/>
      <c r="K50" s="70"/>
      <c r="L50" s="70"/>
      <c r="M50" s="70"/>
      <c r="N50" s="71"/>
      <c r="O50" s="70"/>
      <c r="P50" s="70"/>
      <c r="Q50" s="70"/>
      <c r="R50" s="70"/>
      <c r="S50" s="70"/>
      <c r="T50" s="70"/>
      <c r="U50" s="70"/>
      <c r="V50" s="70"/>
      <c r="W50" s="70"/>
      <c r="X50" s="70"/>
      <c r="Y50" s="71"/>
      <c r="Z50" s="72"/>
      <c r="AA50" s="70"/>
      <c r="AB50" s="72"/>
      <c r="AC50" s="70"/>
      <c r="AD50" s="70"/>
      <c r="AE50" s="70"/>
      <c r="AF50" s="72"/>
      <c r="AG50" s="70"/>
      <c r="AH50" s="72"/>
      <c r="AI50" s="70"/>
      <c r="AJ50" s="72"/>
      <c r="AK50" s="72"/>
      <c r="AL50" s="71"/>
      <c r="AM50" s="71"/>
      <c r="AN50" s="73"/>
      <c r="AO50" s="164"/>
      <c r="AP50" s="71"/>
      <c r="AQ50" s="71"/>
      <c r="AR50" s="71"/>
      <c r="AS50" s="71"/>
      <c r="AT50" s="71"/>
      <c r="AU50" s="71"/>
      <c r="AV50" s="71"/>
      <c r="AW50" s="71"/>
      <c r="AX50" s="74"/>
    </row>
    <row r="51" spans="2:50">
      <c r="B51" s="64"/>
      <c r="C51" s="69"/>
      <c r="D51" s="69"/>
      <c r="E51" s="69"/>
      <c r="F51" s="70"/>
      <c r="G51" s="70"/>
      <c r="H51" s="70"/>
      <c r="I51" s="70"/>
      <c r="J51" s="70"/>
      <c r="K51" s="70"/>
      <c r="L51" s="70"/>
      <c r="M51" s="70"/>
      <c r="N51" s="71"/>
      <c r="O51" s="70"/>
      <c r="P51" s="70"/>
      <c r="Q51" s="70"/>
      <c r="R51" s="70"/>
      <c r="S51" s="70"/>
      <c r="T51" s="70"/>
      <c r="U51" s="70"/>
      <c r="V51" s="70"/>
      <c r="W51" s="70"/>
      <c r="X51" s="70"/>
      <c r="Y51" s="71"/>
      <c r="Z51" s="72"/>
      <c r="AA51" s="70"/>
      <c r="AB51" s="72"/>
      <c r="AC51" s="70"/>
      <c r="AD51" s="70"/>
      <c r="AE51" s="70"/>
      <c r="AF51" s="72"/>
      <c r="AG51" s="70"/>
      <c r="AH51" s="72"/>
      <c r="AI51" s="70"/>
      <c r="AJ51" s="72"/>
      <c r="AK51" s="72"/>
      <c r="AL51" s="71"/>
      <c r="AM51" s="71"/>
      <c r="AN51" s="73"/>
      <c r="AO51" s="164"/>
      <c r="AP51" s="71"/>
      <c r="AQ51" s="71"/>
      <c r="AR51" s="71"/>
      <c r="AS51" s="71"/>
      <c r="AT51" s="71"/>
      <c r="AU51" s="71"/>
      <c r="AV51" s="71"/>
      <c r="AW51" s="71"/>
      <c r="AX51" s="74"/>
    </row>
    <row r="52" spans="2:50">
      <c r="B52" s="76"/>
      <c r="C52" s="76"/>
      <c r="D52" s="76"/>
      <c r="E52" s="76"/>
      <c r="F52" s="70"/>
      <c r="G52" s="70"/>
      <c r="H52" s="70"/>
      <c r="I52" s="70"/>
      <c r="J52" s="70"/>
      <c r="K52" s="70"/>
      <c r="L52" s="70"/>
      <c r="M52" s="70"/>
      <c r="N52" s="71"/>
      <c r="O52" s="70"/>
      <c r="P52" s="70"/>
      <c r="Q52" s="70"/>
      <c r="R52" s="70"/>
      <c r="S52" s="70"/>
      <c r="T52" s="70"/>
      <c r="U52" s="70"/>
      <c r="V52" s="70"/>
      <c r="W52" s="70"/>
      <c r="X52" s="70"/>
      <c r="Y52" s="71"/>
      <c r="Z52" s="72"/>
      <c r="AA52" s="70"/>
      <c r="AB52" s="72"/>
      <c r="AC52" s="70"/>
      <c r="AD52" s="70"/>
      <c r="AE52" s="70"/>
      <c r="AF52" s="72"/>
      <c r="AG52" s="70"/>
      <c r="AH52" s="72"/>
      <c r="AI52" s="70"/>
      <c r="AJ52" s="72"/>
      <c r="AK52" s="72"/>
      <c r="AL52" s="71"/>
      <c r="AM52" s="71"/>
      <c r="AN52" s="73"/>
      <c r="AO52" s="164"/>
      <c r="AP52" s="71"/>
      <c r="AQ52" s="71"/>
      <c r="AR52" s="71"/>
      <c r="AS52" s="71"/>
      <c r="AT52" s="71"/>
      <c r="AU52" s="71"/>
      <c r="AV52" s="71"/>
      <c r="AW52" s="71"/>
      <c r="AX52" s="74"/>
    </row>
    <row r="53" spans="2:50">
      <c r="B53" s="76"/>
      <c r="C53" s="76"/>
      <c r="D53" s="76"/>
      <c r="E53" s="76"/>
      <c r="F53" s="70"/>
      <c r="G53" s="70"/>
      <c r="H53" s="70"/>
      <c r="I53" s="70"/>
      <c r="J53" s="70"/>
      <c r="K53" s="70"/>
      <c r="L53" s="70"/>
      <c r="M53" s="70"/>
      <c r="N53" s="71"/>
      <c r="O53" s="70"/>
      <c r="P53" s="70"/>
      <c r="Q53" s="70"/>
      <c r="R53" s="70"/>
      <c r="S53" s="70"/>
      <c r="T53" s="70"/>
      <c r="U53" s="70"/>
      <c r="V53" s="70"/>
      <c r="W53" s="70"/>
      <c r="X53" s="70"/>
      <c r="Y53" s="71"/>
      <c r="Z53" s="72"/>
      <c r="AA53" s="70"/>
      <c r="AB53" s="72"/>
      <c r="AC53" s="70"/>
      <c r="AD53" s="70"/>
      <c r="AE53" s="70"/>
      <c r="AF53" s="72"/>
      <c r="AG53" s="70"/>
      <c r="AH53" s="72"/>
      <c r="AI53" s="70"/>
      <c r="AJ53" s="72"/>
      <c r="AK53" s="72"/>
      <c r="AL53" s="71"/>
      <c r="AM53" s="71"/>
      <c r="AN53" s="73"/>
      <c r="AO53" s="164"/>
      <c r="AP53" s="71"/>
      <c r="AQ53" s="71"/>
      <c r="AR53" s="71"/>
      <c r="AS53" s="71"/>
      <c r="AT53" s="71"/>
      <c r="AU53" s="71"/>
      <c r="AV53" s="71"/>
      <c r="AW53" s="71"/>
      <c r="AX53" s="74"/>
    </row>
    <row r="54" spans="2:50">
      <c r="B54" s="69"/>
      <c r="C54" s="69"/>
      <c r="D54" s="69"/>
      <c r="E54" s="69"/>
      <c r="F54" s="70"/>
      <c r="G54" s="70"/>
      <c r="H54" s="70"/>
      <c r="I54" s="70"/>
      <c r="J54" s="70"/>
      <c r="K54" s="70"/>
      <c r="L54" s="70"/>
      <c r="M54" s="70"/>
      <c r="N54" s="71"/>
      <c r="O54" s="70"/>
      <c r="P54" s="70"/>
      <c r="Q54" s="70"/>
      <c r="R54" s="70"/>
      <c r="S54" s="70"/>
      <c r="T54" s="70"/>
      <c r="U54" s="70"/>
      <c r="V54" s="70"/>
      <c r="W54" s="70"/>
      <c r="X54" s="70"/>
      <c r="Y54" s="71"/>
      <c r="Z54" s="72"/>
      <c r="AA54" s="70"/>
      <c r="AB54" s="72"/>
      <c r="AC54" s="70"/>
      <c r="AD54" s="70"/>
      <c r="AE54" s="70"/>
      <c r="AF54" s="72"/>
      <c r="AG54" s="70"/>
      <c r="AH54" s="72"/>
      <c r="AI54" s="70"/>
      <c r="AJ54" s="72"/>
      <c r="AK54" s="72"/>
      <c r="AL54" s="71"/>
      <c r="AM54" s="71"/>
      <c r="AN54" s="73"/>
      <c r="AO54" s="164"/>
      <c r="AP54" s="71"/>
      <c r="AQ54" s="71"/>
      <c r="AR54" s="71"/>
      <c r="AS54" s="71"/>
      <c r="AT54" s="71"/>
      <c r="AU54" s="71"/>
      <c r="AV54" s="71"/>
      <c r="AW54" s="71"/>
      <c r="AX54" s="74"/>
    </row>
    <row r="55" spans="2:50">
      <c r="B55" s="64"/>
      <c r="C55" s="69"/>
      <c r="D55" s="69"/>
      <c r="E55" s="69"/>
      <c r="F55" s="70"/>
      <c r="G55" s="70"/>
      <c r="H55" s="70"/>
      <c r="I55" s="70"/>
      <c r="J55" s="70"/>
      <c r="K55" s="70"/>
      <c r="L55" s="70"/>
      <c r="M55" s="70"/>
      <c r="N55" s="71"/>
      <c r="O55" s="70"/>
      <c r="P55" s="70"/>
      <c r="Q55" s="70"/>
      <c r="R55" s="70"/>
      <c r="S55" s="70"/>
      <c r="T55" s="70"/>
      <c r="U55" s="70"/>
      <c r="V55" s="70"/>
      <c r="W55" s="70"/>
      <c r="X55" s="70"/>
      <c r="Y55" s="71"/>
      <c r="Z55" s="72"/>
      <c r="AA55" s="70"/>
      <c r="AB55" s="72"/>
      <c r="AC55" s="70"/>
      <c r="AD55" s="70"/>
      <c r="AE55" s="70"/>
      <c r="AF55" s="72"/>
      <c r="AG55" s="70"/>
      <c r="AH55" s="72"/>
      <c r="AI55" s="70"/>
      <c r="AJ55" s="72"/>
      <c r="AK55" s="72"/>
      <c r="AL55" s="71"/>
      <c r="AM55" s="71"/>
      <c r="AN55" s="73"/>
      <c r="AO55" s="164"/>
      <c r="AP55" s="71"/>
      <c r="AQ55" s="71"/>
      <c r="AR55" s="71"/>
      <c r="AS55" s="71"/>
      <c r="AT55" s="71"/>
      <c r="AU55" s="71"/>
      <c r="AV55" s="71"/>
      <c r="AW55" s="71"/>
      <c r="AX55" s="74"/>
    </row>
    <row r="56" spans="2:50">
      <c r="B56" s="64"/>
      <c r="C56" s="69"/>
      <c r="D56" s="69"/>
      <c r="E56" s="69"/>
      <c r="F56" s="70"/>
      <c r="G56" s="70"/>
      <c r="H56" s="70"/>
      <c r="I56" s="70"/>
      <c r="J56" s="70"/>
      <c r="K56" s="70"/>
      <c r="L56" s="70"/>
      <c r="M56" s="70"/>
      <c r="N56" s="71"/>
      <c r="O56" s="70"/>
      <c r="P56" s="70"/>
      <c r="Q56" s="70"/>
      <c r="R56" s="70"/>
      <c r="S56" s="70"/>
      <c r="T56" s="70"/>
      <c r="U56" s="70"/>
      <c r="V56" s="70"/>
      <c r="W56" s="70"/>
      <c r="X56" s="70"/>
      <c r="Y56" s="71"/>
      <c r="Z56" s="72"/>
      <c r="AA56" s="70"/>
      <c r="AB56" s="72"/>
      <c r="AC56" s="70"/>
      <c r="AD56" s="70"/>
      <c r="AE56" s="70"/>
      <c r="AF56" s="72"/>
      <c r="AG56" s="70"/>
      <c r="AH56" s="72"/>
      <c r="AI56" s="70"/>
      <c r="AJ56" s="72"/>
      <c r="AK56" s="72"/>
      <c r="AL56" s="71"/>
      <c r="AM56" s="71"/>
      <c r="AN56" s="73"/>
      <c r="AO56" s="164"/>
      <c r="AP56" s="71"/>
      <c r="AQ56" s="71"/>
      <c r="AR56" s="71"/>
      <c r="AS56" s="71"/>
      <c r="AT56" s="71"/>
      <c r="AU56" s="71"/>
      <c r="AV56" s="71"/>
      <c r="AW56" s="71"/>
      <c r="AX56" s="74"/>
    </row>
    <row r="57" spans="2:50">
      <c r="B57" s="64"/>
      <c r="C57" s="69"/>
      <c r="D57" s="69"/>
      <c r="E57" s="69"/>
      <c r="F57" s="70"/>
      <c r="G57" s="70"/>
      <c r="H57" s="70"/>
      <c r="I57" s="70"/>
      <c r="J57" s="70"/>
      <c r="K57" s="70"/>
      <c r="L57" s="70"/>
      <c r="M57" s="70"/>
      <c r="N57" s="71"/>
      <c r="O57" s="70"/>
      <c r="P57" s="70"/>
      <c r="Q57" s="70"/>
      <c r="R57" s="70"/>
      <c r="S57" s="70"/>
      <c r="T57" s="70"/>
      <c r="U57" s="70"/>
      <c r="V57" s="70"/>
      <c r="W57" s="70"/>
      <c r="X57" s="70"/>
      <c r="Y57" s="71"/>
      <c r="Z57" s="72"/>
      <c r="AA57" s="70"/>
      <c r="AB57" s="72"/>
      <c r="AC57" s="70"/>
      <c r="AD57" s="70"/>
      <c r="AE57" s="70"/>
      <c r="AF57" s="72"/>
      <c r="AG57" s="70"/>
      <c r="AH57" s="72"/>
      <c r="AI57" s="70"/>
      <c r="AJ57" s="72"/>
      <c r="AK57" s="72"/>
      <c r="AL57" s="71"/>
      <c r="AM57" s="71"/>
      <c r="AN57" s="73"/>
      <c r="AO57" s="164"/>
      <c r="AP57" s="71"/>
      <c r="AQ57" s="71"/>
      <c r="AR57" s="71"/>
      <c r="AS57" s="71"/>
      <c r="AT57" s="71"/>
      <c r="AU57" s="71"/>
      <c r="AV57" s="71"/>
      <c r="AW57" s="71"/>
      <c r="AX57" s="74"/>
    </row>
    <row r="58" spans="2:50">
      <c r="B58" s="76"/>
      <c r="C58" s="76"/>
      <c r="D58" s="76"/>
      <c r="E58" s="76"/>
      <c r="F58" s="70"/>
      <c r="G58" s="70"/>
      <c r="H58" s="70"/>
      <c r="I58" s="70"/>
      <c r="J58" s="70"/>
      <c r="K58" s="70"/>
      <c r="L58" s="70"/>
      <c r="M58" s="70"/>
      <c r="N58" s="71"/>
      <c r="O58" s="70"/>
      <c r="P58" s="70"/>
      <c r="Q58" s="70"/>
      <c r="R58" s="70"/>
      <c r="S58" s="70"/>
      <c r="T58" s="70"/>
      <c r="U58" s="70"/>
      <c r="V58" s="70"/>
      <c r="W58" s="70"/>
      <c r="X58" s="70"/>
      <c r="Y58" s="71"/>
      <c r="Z58" s="72"/>
      <c r="AA58" s="70"/>
      <c r="AB58" s="72"/>
      <c r="AC58" s="70"/>
      <c r="AD58" s="70"/>
      <c r="AE58" s="70"/>
      <c r="AF58" s="72"/>
      <c r="AG58" s="70"/>
      <c r="AH58" s="72"/>
      <c r="AI58" s="70"/>
      <c r="AJ58" s="72"/>
      <c r="AK58" s="72"/>
      <c r="AL58" s="71"/>
      <c r="AM58" s="71"/>
      <c r="AN58" s="73"/>
      <c r="AO58" s="164"/>
      <c r="AP58" s="71"/>
      <c r="AQ58" s="71"/>
      <c r="AR58" s="71"/>
      <c r="AS58" s="71"/>
      <c r="AT58" s="71"/>
      <c r="AU58" s="71"/>
      <c r="AV58" s="71"/>
      <c r="AW58" s="71"/>
      <c r="AX58" s="74"/>
    </row>
    <row r="59" spans="2:50">
      <c r="B59" s="64"/>
      <c r="C59" s="69"/>
      <c r="D59" s="69"/>
      <c r="E59" s="69"/>
      <c r="F59" s="70"/>
      <c r="G59" s="70"/>
      <c r="H59" s="70"/>
      <c r="I59" s="70"/>
      <c r="J59" s="70"/>
      <c r="K59" s="70"/>
      <c r="L59" s="70"/>
      <c r="M59" s="70"/>
      <c r="N59" s="71"/>
      <c r="O59" s="70"/>
      <c r="P59" s="70"/>
      <c r="Q59" s="70"/>
      <c r="R59" s="70"/>
      <c r="S59" s="70"/>
      <c r="T59" s="70"/>
      <c r="U59" s="70"/>
      <c r="V59" s="70"/>
      <c r="W59" s="70"/>
      <c r="X59" s="70"/>
      <c r="Y59" s="71"/>
      <c r="Z59" s="72"/>
      <c r="AA59" s="70"/>
      <c r="AB59" s="72"/>
      <c r="AC59" s="70"/>
      <c r="AD59" s="70"/>
      <c r="AE59" s="70"/>
      <c r="AF59" s="72"/>
      <c r="AG59" s="70"/>
      <c r="AH59" s="72"/>
      <c r="AI59" s="70"/>
      <c r="AJ59" s="72"/>
      <c r="AK59" s="72"/>
      <c r="AL59" s="71"/>
      <c r="AM59" s="71"/>
      <c r="AN59" s="73"/>
      <c r="AO59" s="164"/>
      <c r="AP59" s="71"/>
      <c r="AQ59" s="71"/>
      <c r="AR59" s="71"/>
      <c r="AS59" s="71"/>
      <c r="AT59" s="71"/>
      <c r="AU59" s="71"/>
      <c r="AV59" s="71"/>
      <c r="AW59" s="71"/>
      <c r="AX59" s="74"/>
    </row>
    <row r="60" spans="2:50">
      <c r="B60" s="64"/>
      <c r="C60" s="69"/>
      <c r="D60" s="69"/>
      <c r="E60" s="69"/>
      <c r="F60" s="70"/>
      <c r="G60" s="70"/>
      <c r="H60" s="70"/>
      <c r="I60" s="70"/>
      <c r="J60" s="70"/>
      <c r="K60" s="70"/>
      <c r="L60" s="70"/>
      <c r="M60" s="70"/>
      <c r="N60" s="71"/>
      <c r="O60" s="70"/>
      <c r="P60" s="70"/>
      <c r="Q60" s="70"/>
      <c r="R60" s="70"/>
      <c r="S60" s="70"/>
      <c r="T60" s="70"/>
      <c r="U60" s="70"/>
      <c r="V60" s="70"/>
      <c r="W60" s="70"/>
      <c r="X60" s="70"/>
      <c r="Y60" s="71"/>
      <c r="Z60" s="72"/>
      <c r="AA60" s="70"/>
      <c r="AB60" s="72"/>
      <c r="AC60" s="70"/>
      <c r="AD60" s="70"/>
      <c r="AE60" s="70"/>
      <c r="AF60" s="72"/>
      <c r="AG60" s="70"/>
      <c r="AH60" s="72"/>
      <c r="AI60" s="70"/>
      <c r="AJ60" s="72"/>
      <c r="AK60" s="72"/>
      <c r="AL60" s="71"/>
      <c r="AM60" s="71"/>
      <c r="AN60" s="73"/>
      <c r="AO60" s="164"/>
      <c r="AP60" s="71"/>
      <c r="AQ60" s="71"/>
      <c r="AR60" s="71"/>
      <c r="AS60" s="71"/>
      <c r="AT60" s="71"/>
      <c r="AU60" s="71"/>
      <c r="AV60" s="71"/>
      <c r="AW60" s="71"/>
      <c r="AX60" s="74"/>
    </row>
    <row r="61" spans="2:50">
      <c r="B61" s="76"/>
      <c r="C61" s="76"/>
      <c r="D61" s="76"/>
      <c r="E61" s="76"/>
      <c r="F61" s="70"/>
      <c r="G61" s="70"/>
      <c r="H61" s="70"/>
      <c r="I61" s="70"/>
      <c r="J61" s="70"/>
      <c r="K61" s="70"/>
      <c r="L61" s="70"/>
      <c r="M61" s="70"/>
      <c r="N61" s="71"/>
      <c r="O61" s="70"/>
      <c r="P61" s="70"/>
      <c r="Q61" s="70"/>
      <c r="R61" s="70"/>
      <c r="S61" s="70"/>
      <c r="T61" s="70"/>
      <c r="U61" s="70"/>
      <c r="V61" s="70"/>
      <c r="W61" s="70"/>
      <c r="X61" s="70"/>
      <c r="Y61" s="71"/>
      <c r="Z61" s="72"/>
      <c r="AA61" s="70"/>
      <c r="AB61" s="72"/>
      <c r="AC61" s="70"/>
      <c r="AD61" s="70"/>
      <c r="AE61" s="70"/>
      <c r="AF61" s="72"/>
      <c r="AG61" s="70"/>
      <c r="AH61" s="72"/>
      <c r="AI61" s="70"/>
      <c r="AJ61" s="72"/>
      <c r="AK61" s="72"/>
      <c r="AL61" s="71"/>
      <c r="AM61" s="71"/>
      <c r="AN61" s="73"/>
      <c r="AO61" s="164"/>
      <c r="AP61" s="71"/>
      <c r="AQ61" s="71"/>
      <c r="AR61" s="71"/>
      <c r="AS61" s="71"/>
      <c r="AT61" s="71"/>
      <c r="AU61" s="71"/>
      <c r="AV61" s="71"/>
      <c r="AW61" s="71"/>
      <c r="AX61" s="74"/>
    </row>
    <row r="62" spans="2:50">
      <c r="B62" s="76"/>
      <c r="C62" s="76"/>
      <c r="D62" s="76"/>
      <c r="E62" s="76"/>
      <c r="F62" s="70"/>
      <c r="G62" s="70"/>
      <c r="H62" s="70"/>
      <c r="I62" s="70"/>
      <c r="J62" s="70"/>
      <c r="K62" s="70"/>
      <c r="L62" s="70"/>
      <c r="M62" s="70"/>
      <c r="N62" s="71"/>
      <c r="O62" s="70"/>
      <c r="P62" s="70"/>
      <c r="Q62" s="70"/>
      <c r="R62" s="70"/>
      <c r="S62" s="70"/>
      <c r="T62" s="70"/>
      <c r="U62" s="70"/>
      <c r="V62" s="70"/>
      <c r="W62" s="70"/>
      <c r="X62" s="70"/>
      <c r="Y62" s="71"/>
      <c r="Z62" s="72"/>
      <c r="AA62" s="70"/>
      <c r="AB62" s="72"/>
      <c r="AC62" s="70"/>
      <c r="AD62" s="70"/>
      <c r="AE62" s="70"/>
      <c r="AF62" s="72"/>
      <c r="AG62" s="70"/>
      <c r="AH62" s="72"/>
      <c r="AI62" s="70"/>
      <c r="AJ62" s="72"/>
      <c r="AK62" s="72"/>
      <c r="AL62" s="71"/>
      <c r="AM62" s="71"/>
      <c r="AN62" s="73"/>
      <c r="AO62" s="164"/>
      <c r="AP62" s="71"/>
      <c r="AQ62" s="71"/>
      <c r="AR62" s="71"/>
      <c r="AS62" s="71"/>
      <c r="AT62" s="71"/>
      <c r="AU62" s="71"/>
      <c r="AV62" s="71"/>
      <c r="AW62" s="71"/>
      <c r="AX62" s="74"/>
    </row>
    <row r="63" spans="2:50">
      <c r="B63" s="76"/>
      <c r="C63" s="76"/>
      <c r="D63" s="76"/>
      <c r="E63" s="76"/>
      <c r="F63" s="70"/>
      <c r="G63" s="70"/>
      <c r="H63" s="70"/>
      <c r="I63" s="70"/>
      <c r="J63" s="70"/>
      <c r="K63" s="70"/>
      <c r="L63" s="70"/>
      <c r="M63" s="70"/>
      <c r="N63" s="71"/>
      <c r="O63" s="70"/>
      <c r="P63" s="70"/>
      <c r="Q63" s="70"/>
      <c r="R63" s="70"/>
      <c r="S63" s="70"/>
      <c r="T63" s="70"/>
      <c r="U63" s="70"/>
      <c r="V63" s="70"/>
      <c r="W63" s="70"/>
      <c r="X63" s="70"/>
      <c r="Y63" s="71"/>
      <c r="Z63" s="72"/>
      <c r="AA63" s="70"/>
      <c r="AB63" s="72"/>
      <c r="AC63" s="70"/>
      <c r="AD63" s="70"/>
      <c r="AE63" s="70"/>
      <c r="AF63" s="72"/>
      <c r="AG63" s="70"/>
      <c r="AH63" s="72"/>
      <c r="AI63" s="70"/>
      <c r="AJ63" s="72"/>
      <c r="AK63" s="72"/>
      <c r="AL63" s="71"/>
      <c r="AM63" s="71"/>
      <c r="AN63" s="73"/>
      <c r="AO63" s="164"/>
      <c r="AP63" s="71"/>
      <c r="AQ63" s="71"/>
      <c r="AR63" s="71"/>
      <c r="AS63" s="71"/>
      <c r="AT63" s="71"/>
      <c r="AU63" s="71"/>
      <c r="AV63" s="71"/>
      <c r="AW63" s="71"/>
      <c r="AX63" s="74"/>
    </row>
    <row r="64" spans="2:50">
      <c r="B64" s="64"/>
      <c r="C64" s="69"/>
      <c r="D64" s="69"/>
      <c r="E64" s="69"/>
      <c r="F64" s="70"/>
      <c r="G64" s="70"/>
      <c r="H64" s="70"/>
      <c r="I64" s="70"/>
      <c r="J64" s="70"/>
      <c r="K64" s="70"/>
      <c r="L64" s="70"/>
      <c r="M64" s="70"/>
      <c r="N64" s="71"/>
      <c r="O64" s="70"/>
      <c r="P64" s="70"/>
      <c r="Q64" s="70"/>
      <c r="R64" s="70"/>
      <c r="S64" s="70"/>
      <c r="T64" s="70"/>
      <c r="U64" s="70"/>
      <c r="V64" s="70"/>
      <c r="W64" s="70"/>
      <c r="X64" s="70"/>
      <c r="Y64" s="71"/>
      <c r="Z64" s="72"/>
      <c r="AA64" s="70"/>
      <c r="AB64" s="72"/>
      <c r="AC64" s="70"/>
      <c r="AD64" s="70"/>
      <c r="AE64" s="70"/>
      <c r="AF64" s="72"/>
      <c r="AG64" s="70"/>
      <c r="AH64" s="72"/>
      <c r="AI64" s="70"/>
      <c r="AJ64" s="72"/>
      <c r="AK64" s="72"/>
      <c r="AL64" s="71"/>
      <c r="AM64" s="71"/>
      <c r="AN64" s="73"/>
      <c r="AO64" s="164"/>
      <c r="AP64" s="71"/>
      <c r="AQ64" s="71"/>
      <c r="AR64" s="71"/>
      <c r="AS64" s="71"/>
      <c r="AT64" s="71"/>
      <c r="AU64" s="71"/>
      <c r="AV64" s="71"/>
      <c r="AW64" s="71"/>
      <c r="AX64" s="74"/>
    </row>
    <row r="65" spans="1:50">
      <c r="B65" s="76"/>
      <c r="C65" s="76"/>
      <c r="D65" s="76"/>
      <c r="E65" s="76"/>
      <c r="F65" s="70"/>
      <c r="G65" s="70"/>
      <c r="H65" s="70"/>
      <c r="I65" s="70"/>
      <c r="J65" s="70"/>
      <c r="K65" s="70"/>
      <c r="L65" s="70"/>
      <c r="M65" s="70"/>
      <c r="N65" s="71"/>
      <c r="O65" s="70"/>
      <c r="P65" s="70"/>
      <c r="Q65" s="70"/>
      <c r="R65" s="70"/>
      <c r="S65" s="70"/>
      <c r="T65" s="70"/>
      <c r="U65" s="70"/>
      <c r="V65" s="70"/>
      <c r="W65" s="70"/>
      <c r="X65" s="70"/>
      <c r="Y65" s="71"/>
      <c r="Z65" s="72"/>
      <c r="AA65" s="70"/>
      <c r="AB65" s="72"/>
      <c r="AC65" s="70"/>
      <c r="AD65" s="70"/>
      <c r="AE65" s="70"/>
      <c r="AF65" s="72"/>
      <c r="AG65" s="70"/>
      <c r="AH65" s="72"/>
      <c r="AI65" s="70"/>
      <c r="AJ65" s="72"/>
      <c r="AK65" s="72"/>
      <c r="AL65" s="71"/>
      <c r="AM65" s="71"/>
      <c r="AN65" s="73"/>
      <c r="AO65" s="164"/>
      <c r="AP65" s="71"/>
      <c r="AQ65" s="71"/>
      <c r="AR65" s="71"/>
      <c r="AS65" s="71"/>
      <c r="AT65" s="71"/>
      <c r="AU65" s="71"/>
      <c r="AV65" s="71"/>
      <c r="AW65" s="71"/>
      <c r="AX65" s="74"/>
    </row>
    <row r="66" spans="1:50">
      <c r="B66" s="76"/>
      <c r="C66" s="76"/>
      <c r="D66" s="76"/>
      <c r="E66" s="76"/>
      <c r="F66" s="70"/>
      <c r="G66" s="70"/>
      <c r="H66" s="70"/>
      <c r="I66" s="70"/>
      <c r="J66" s="70"/>
      <c r="K66" s="70"/>
      <c r="L66" s="70"/>
      <c r="M66" s="70"/>
      <c r="N66" s="71"/>
      <c r="O66" s="70"/>
      <c r="P66" s="70"/>
      <c r="Q66" s="70"/>
      <c r="R66" s="70"/>
      <c r="S66" s="70"/>
      <c r="T66" s="70"/>
      <c r="U66" s="70"/>
      <c r="V66" s="70"/>
      <c r="W66" s="70"/>
      <c r="X66" s="70"/>
      <c r="Y66" s="71"/>
      <c r="Z66" s="72"/>
      <c r="AA66" s="70"/>
      <c r="AB66" s="72"/>
      <c r="AC66" s="70"/>
      <c r="AD66" s="70"/>
      <c r="AE66" s="70"/>
      <c r="AF66" s="72"/>
      <c r="AG66" s="70"/>
      <c r="AH66" s="72"/>
      <c r="AI66" s="70"/>
      <c r="AJ66" s="72"/>
      <c r="AK66" s="72"/>
      <c r="AL66" s="71"/>
      <c r="AM66" s="71"/>
      <c r="AN66" s="73"/>
      <c r="AO66" s="164"/>
      <c r="AP66" s="71"/>
      <c r="AQ66" s="71"/>
      <c r="AR66" s="71"/>
      <c r="AS66" s="71"/>
      <c r="AT66" s="71"/>
      <c r="AU66" s="71"/>
      <c r="AV66" s="71"/>
      <c r="AW66" s="71"/>
      <c r="AX66" s="74"/>
    </row>
    <row r="67" spans="1:50" ht="17.25" customHeight="1">
      <c r="B67" s="64"/>
      <c r="C67" s="69"/>
      <c r="D67" s="69"/>
      <c r="E67" s="69"/>
      <c r="F67" s="70"/>
      <c r="G67" s="70"/>
      <c r="H67" s="70"/>
      <c r="I67" s="70"/>
      <c r="J67" s="70"/>
      <c r="K67" s="70"/>
      <c r="L67" s="70"/>
      <c r="M67" s="70"/>
      <c r="N67" s="71"/>
      <c r="O67" s="70"/>
      <c r="P67" s="70"/>
      <c r="Q67" s="70"/>
      <c r="R67" s="70"/>
      <c r="S67" s="70"/>
      <c r="T67" s="70"/>
      <c r="U67" s="70"/>
      <c r="V67" s="70"/>
      <c r="W67" s="70"/>
      <c r="X67" s="70"/>
      <c r="Y67" s="71"/>
      <c r="Z67" s="72"/>
      <c r="AA67" s="70"/>
      <c r="AB67" s="72"/>
      <c r="AC67" s="70"/>
      <c r="AD67" s="70"/>
      <c r="AE67" s="70"/>
      <c r="AF67" s="72"/>
      <c r="AG67" s="70"/>
      <c r="AH67" s="72"/>
      <c r="AI67" s="70"/>
      <c r="AJ67" s="72"/>
      <c r="AK67" s="72"/>
      <c r="AL67" s="71"/>
      <c r="AM67" s="71"/>
      <c r="AN67" s="73"/>
      <c r="AO67" s="164"/>
      <c r="AP67" s="71"/>
      <c r="AQ67" s="71"/>
      <c r="AR67" s="71"/>
      <c r="AS67" s="71"/>
      <c r="AT67" s="71"/>
      <c r="AU67" s="71"/>
      <c r="AV67" s="71"/>
      <c r="AW67" s="71"/>
      <c r="AX67" s="74"/>
    </row>
    <row r="68" spans="1:50">
      <c r="B68" s="77"/>
      <c r="C68" s="77"/>
      <c r="D68" s="77"/>
      <c r="E68" s="77"/>
      <c r="F68" s="70"/>
      <c r="G68" s="70"/>
      <c r="H68" s="70"/>
      <c r="I68" s="70"/>
      <c r="J68" s="70"/>
      <c r="K68" s="70"/>
      <c r="L68" s="70"/>
      <c r="M68" s="70"/>
      <c r="N68" s="71"/>
      <c r="O68" s="70"/>
      <c r="P68" s="70"/>
      <c r="Q68" s="70"/>
      <c r="R68" s="70"/>
      <c r="S68" s="70"/>
      <c r="T68" s="70"/>
      <c r="U68" s="70"/>
      <c r="V68" s="70"/>
      <c r="W68" s="70"/>
      <c r="X68" s="70"/>
      <c r="Y68" s="71"/>
      <c r="Z68" s="72"/>
      <c r="AA68" s="70"/>
      <c r="AB68" s="72"/>
      <c r="AC68" s="70"/>
      <c r="AD68" s="70"/>
      <c r="AE68" s="70"/>
      <c r="AF68" s="72"/>
      <c r="AG68" s="70"/>
      <c r="AH68" s="72"/>
      <c r="AI68" s="70"/>
      <c r="AJ68" s="72"/>
      <c r="AK68" s="72"/>
      <c r="AL68" s="71"/>
      <c r="AM68" s="71"/>
      <c r="AN68" s="73"/>
      <c r="AO68" s="164"/>
      <c r="AP68" s="71"/>
      <c r="AQ68" s="71"/>
      <c r="AR68" s="71"/>
      <c r="AS68" s="71"/>
      <c r="AT68" s="71"/>
      <c r="AU68" s="71"/>
      <c r="AV68" s="71"/>
      <c r="AW68" s="71"/>
      <c r="AX68" s="74"/>
    </row>
    <row r="69" spans="1:50">
      <c r="B69" s="77"/>
      <c r="C69" s="77"/>
      <c r="D69" s="77"/>
      <c r="E69" s="77"/>
      <c r="F69" s="70"/>
      <c r="G69" s="70"/>
      <c r="H69" s="70"/>
      <c r="I69" s="70"/>
      <c r="J69" s="70"/>
      <c r="K69" s="70"/>
      <c r="L69" s="70"/>
      <c r="M69" s="70"/>
      <c r="N69" s="71"/>
      <c r="O69" s="70"/>
      <c r="P69" s="70"/>
      <c r="Q69" s="70"/>
      <c r="R69" s="70"/>
      <c r="S69" s="70"/>
      <c r="T69" s="70"/>
      <c r="U69" s="70"/>
      <c r="V69" s="70"/>
      <c r="W69" s="70"/>
      <c r="X69" s="70"/>
      <c r="Y69" s="71"/>
      <c r="Z69" s="72"/>
      <c r="AA69" s="70"/>
      <c r="AB69" s="72"/>
      <c r="AC69" s="70"/>
      <c r="AD69" s="70"/>
      <c r="AE69" s="70"/>
      <c r="AF69" s="72"/>
      <c r="AG69" s="70"/>
      <c r="AH69" s="72"/>
      <c r="AI69" s="70"/>
      <c r="AJ69" s="72"/>
      <c r="AK69" s="72"/>
      <c r="AL69" s="71"/>
      <c r="AM69" s="71"/>
      <c r="AN69" s="73"/>
      <c r="AO69" s="164"/>
      <c r="AP69" s="71"/>
      <c r="AQ69" s="71"/>
      <c r="AR69" s="71"/>
      <c r="AS69" s="71"/>
      <c r="AT69" s="71"/>
      <c r="AU69" s="71"/>
      <c r="AV69" s="71"/>
      <c r="AW69" s="71"/>
      <c r="AX69" s="74"/>
    </row>
    <row r="70" spans="1:50">
      <c r="B70" s="77"/>
      <c r="C70" s="77"/>
      <c r="D70" s="77"/>
      <c r="E70" s="77"/>
      <c r="F70" s="70"/>
      <c r="G70" s="70"/>
      <c r="H70" s="70"/>
      <c r="I70" s="70"/>
      <c r="J70" s="70"/>
      <c r="K70" s="70"/>
      <c r="L70" s="70"/>
      <c r="M70" s="70"/>
      <c r="N70" s="71"/>
      <c r="O70" s="70"/>
      <c r="P70" s="70"/>
      <c r="Q70" s="70"/>
      <c r="R70" s="70"/>
      <c r="S70" s="70"/>
      <c r="T70" s="70"/>
      <c r="U70" s="70"/>
      <c r="V70" s="70"/>
      <c r="W70" s="70"/>
      <c r="X70" s="70"/>
      <c r="Y70" s="71"/>
      <c r="Z70" s="72"/>
      <c r="AA70" s="70"/>
      <c r="AB70" s="72"/>
      <c r="AC70" s="70"/>
      <c r="AD70" s="70"/>
      <c r="AE70" s="70"/>
      <c r="AF70" s="72"/>
      <c r="AG70" s="70"/>
      <c r="AH70" s="72"/>
      <c r="AI70" s="70"/>
      <c r="AJ70" s="72"/>
      <c r="AK70" s="72"/>
      <c r="AL70" s="71"/>
      <c r="AM70" s="71"/>
      <c r="AN70" s="73"/>
      <c r="AO70" s="164"/>
      <c r="AP70" s="71"/>
      <c r="AQ70" s="71"/>
      <c r="AR70" s="71"/>
      <c r="AS70" s="71"/>
      <c r="AT70" s="71"/>
      <c r="AU70" s="71"/>
      <c r="AV70" s="71"/>
      <c r="AW70" s="71"/>
      <c r="AX70" s="74"/>
    </row>
    <row r="71" spans="1:50">
      <c r="A71" s="75"/>
      <c r="B71" s="76"/>
      <c r="C71" s="76"/>
      <c r="D71" s="76"/>
      <c r="E71" s="76"/>
      <c r="F71" s="70"/>
      <c r="G71" s="70"/>
      <c r="H71" s="70"/>
      <c r="I71" s="70"/>
      <c r="J71" s="70"/>
      <c r="K71" s="70"/>
      <c r="L71" s="70"/>
      <c r="M71" s="70"/>
      <c r="N71" s="71"/>
      <c r="O71" s="70"/>
      <c r="P71" s="70"/>
      <c r="Q71" s="70"/>
      <c r="R71" s="70"/>
      <c r="S71" s="70"/>
      <c r="T71" s="70"/>
      <c r="U71" s="70"/>
      <c r="V71" s="70"/>
      <c r="W71" s="70"/>
      <c r="X71" s="70"/>
      <c r="Y71" s="71"/>
      <c r="Z71" s="72"/>
      <c r="AA71" s="70"/>
      <c r="AB71" s="72"/>
      <c r="AC71" s="70"/>
      <c r="AD71" s="70"/>
      <c r="AE71" s="70"/>
      <c r="AF71" s="72"/>
      <c r="AG71" s="70"/>
      <c r="AH71" s="72"/>
      <c r="AI71" s="70"/>
      <c r="AJ71" s="72"/>
      <c r="AK71" s="72"/>
      <c r="AL71" s="71"/>
      <c r="AM71" s="71"/>
      <c r="AN71" s="73"/>
      <c r="AO71" s="164"/>
      <c r="AP71" s="71"/>
      <c r="AQ71" s="71"/>
      <c r="AR71" s="71"/>
      <c r="AS71" s="71"/>
      <c r="AT71" s="71"/>
      <c r="AU71" s="71"/>
      <c r="AV71" s="71"/>
      <c r="AW71" s="71"/>
      <c r="AX71" s="74"/>
    </row>
    <row r="72" spans="1:50">
      <c r="B72" s="64"/>
      <c r="C72" s="69"/>
      <c r="D72" s="69"/>
      <c r="E72" s="69"/>
      <c r="F72" s="70"/>
      <c r="G72" s="70"/>
      <c r="H72" s="70"/>
      <c r="I72" s="70"/>
      <c r="J72" s="70"/>
      <c r="K72" s="70"/>
      <c r="L72" s="70"/>
      <c r="M72" s="70"/>
      <c r="N72" s="71"/>
      <c r="O72" s="70"/>
      <c r="P72" s="70"/>
      <c r="Q72" s="70"/>
      <c r="R72" s="70"/>
      <c r="S72" s="70"/>
      <c r="T72" s="70"/>
      <c r="U72" s="70"/>
      <c r="V72" s="70"/>
      <c r="W72" s="70"/>
      <c r="X72" s="70"/>
      <c r="Y72" s="71"/>
      <c r="Z72" s="72"/>
      <c r="AA72" s="70"/>
      <c r="AB72" s="72"/>
      <c r="AC72" s="70"/>
      <c r="AD72" s="70"/>
      <c r="AE72" s="70"/>
      <c r="AF72" s="72"/>
      <c r="AG72" s="70"/>
      <c r="AH72" s="72"/>
      <c r="AI72" s="70"/>
      <c r="AJ72" s="72"/>
      <c r="AK72" s="72"/>
      <c r="AL72" s="71"/>
      <c r="AM72" s="71"/>
      <c r="AN72" s="73"/>
      <c r="AO72" s="164"/>
      <c r="AP72" s="71"/>
      <c r="AQ72" s="71"/>
      <c r="AR72" s="71"/>
      <c r="AS72" s="71"/>
      <c r="AT72" s="71"/>
      <c r="AU72" s="71"/>
      <c r="AV72" s="71"/>
      <c r="AW72" s="71"/>
      <c r="AX72" s="74"/>
    </row>
    <row r="73" spans="1:50">
      <c r="B73" s="64"/>
      <c r="C73" s="69"/>
      <c r="D73" s="69"/>
      <c r="E73" s="69"/>
      <c r="F73" s="70"/>
      <c r="G73" s="70"/>
      <c r="H73" s="70"/>
      <c r="I73" s="70"/>
      <c r="J73" s="70"/>
      <c r="K73" s="70"/>
      <c r="L73" s="70"/>
      <c r="M73" s="70"/>
      <c r="N73" s="71"/>
      <c r="O73" s="70"/>
      <c r="P73" s="70"/>
      <c r="Q73" s="70"/>
      <c r="R73" s="70"/>
      <c r="S73" s="70"/>
      <c r="T73" s="70"/>
      <c r="U73" s="70"/>
      <c r="V73" s="70"/>
      <c r="W73" s="70"/>
      <c r="X73" s="70"/>
      <c r="Y73" s="71"/>
      <c r="Z73" s="72"/>
      <c r="AA73" s="70"/>
      <c r="AB73" s="72"/>
      <c r="AC73" s="70"/>
      <c r="AD73" s="70"/>
      <c r="AE73" s="70"/>
      <c r="AF73" s="72"/>
      <c r="AG73" s="70"/>
      <c r="AH73" s="72"/>
      <c r="AI73" s="70"/>
      <c r="AJ73" s="72"/>
      <c r="AK73" s="72"/>
      <c r="AL73" s="71"/>
      <c r="AM73" s="71"/>
      <c r="AN73" s="73"/>
      <c r="AO73" s="164"/>
      <c r="AP73" s="71"/>
      <c r="AQ73" s="71"/>
      <c r="AR73" s="71"/>
      <c r="AS73" s="71"/>
      <c r="AT73" s="71"/>
      <c r="AU73" s="71"/>
      <c r="AV73" s="71"/>
      <c r="AW73" s="71"/>
      <c r="AX73" s="74"/>
    </row>
    <row r="74" spans="1:50" ht="14.25" customHeight="1">
      <c r="B74" s="78"/>
      <c r="C74" s="76"/>
      <c r="D74" s="78"/>
      <c r="E74" s="78"/>
      <c r="F74" s="70"/>
      <c r="G74" s="70"/>
      <c r="H74" s="70"/>
      <c r="I74" s="70"/>
      <c r="J74" s="70"/>
      <c r="K74" s="70"/>
      <c r="L74" s="70"/>
      <c r="M74" s="70"/>
      <c r="N74" s="71"/>
      <c r="O74" s="70"/>
      <c r="P74" s="70"/>
      <c r="Q74" s="70"/>
      <c r="R74" s="70"/>
      <c r="S74" s="70"/>
      <c r="T74" s="70"/>
      <c r="U74" s="70"/>
      <c r="V74" s="70"/>
      <c r="W74" s="70"/>
      <c r="X74" s="70"/>
      <c r="Y74" s="71"/>
      <c r="Z74" s="72"/>
      <c r="AA74" s="70"/>
      <c r="AB74" s="72"/>
      <c r="AC74" s="70"/>
      <c r="AD74" s="70"/>
      <c r="AE74" s="70"/>
      <c r="AF74" s="72"/>
      <c r="AG74" s="70"/>
      <c r="AH74" s="72"/>
      <c r="AI74" s="70"/>
      <c r="AJ74" s="72"/>
      <c r="AK74" s="72"/>
      <c r="AL74" s="71"/>
      <c r="AM74" s="71"/>
      <c r="AN74" s="73"/>
      <c r="AO74" s="164"/>
      <c r="AP74" s="71"/>
      <c r="AQ74" s="71"/>
      <c r="AR74" s="71"/>
      <c r="AS74" s="71"/>
      <c r="AT74" s="71"/>
      <c r="AU74" s="71"/>
      <c r="AV74" s="71"/>
      <c r="AW74" s="71"/>
      <c r="AX74" s="74"/>
    </row>
    <row r="75" spans="1:50">
      <c r="B75" s="64"/>
      <c r="C75" s="69"/>
      <c r="D75" s="69"/>
      <c r="E75" s="69"/>
      <c r="F75" s="70"/>
      <c r="G75" s="70"/>
      <c r="H75" s="70"/>
      <c r="I75" s="70"/>
      <c r="J75" s="70"/>
      <c r="K75" s="70"/>
      <c r="L75" s="70"/>
      <c r="M75" s="70"/>
      <c r="N75" s="71"/>
      <c r="O75" s="70"/>
      <c r="P75" s="70"/>
      <c r="Q75" s="70"/>
      <c r="R75" s="70"/>
      <c r="S75" s="70"/>
      <c r="T75" s="70"/>
      <c r="U75" s="70"/>
      <c r="V75" s="70"/>
      <c r="W75" s="70"/>
      <c r="X75" s="70"/>
      <c r="Y75" s="71"/>
      <c r="Z75" s="72"/>
      <c r="AA75" s="70"/>
      <c r="AB75" s="72"/>
      <c r="AC75" s="70"/>
      <c r="AD75" s="70"/>
      <c r="AE75" s="70"/>
      <c r="AF75" s="72"/>
      <c r="AG75" s="70"/>
      <c r="AH75" s="72"/>
      <c r="AI75" s="70"/>
      <c r="AJ75" s="72"/>
      <c r="AK75" s="72"/>
      <c r="AL75" s="71"/>
      <c r="AM75" s="71"/>
      <c r="AN75" s="73"/>
      <c r="AO75" s="164"/>
      <c r="AP75" s="71"/>
      <c r="AQ75" s="71"/>
      <c r="AR75" s="71"/>
      <c r="AS75" s="71"/>
      <c r="AT75" s="71"/>
      <c r="AU75" s="71"/>
      <c r="AV75" s="71"/>
      <c r="AW75" s="71"/>
      <c r="AX75" s="74"/>
    </row>
    <row r="76" spans="1:50">
      <c r="B76" s="64"/>
      <c r="C76" s="69"/>
      <c r="D76" s="69"/>
      <c r="E76" s="69"/>
      <c r="F76" s="70"/>
      <c r="G76" s="70"/>
      <c r="H76" s="70"/>
      <c r="I76" s="70"/>
      <c r="J76" s="70"/>
      <c r="K76" s="70"/>
      <c r="L76" s="70"/>
      <c r="M76" s="70"/>
      <c r="N76" s="71"/>
      <c r="O76" s="70"/>
      <c r="P76" s="70"/>
      <c r="Q76" s="70"/>
      <c r="R76" s="70"/>
      <c r="S76" s="70"/>
      <c r="T76" s="70"/>
      <c r="U76" s="70"/>
      <c r="V76" s="70"/>
      <c r="W76" s="70"/>
      <c r="X76" s="70"/>
      <c r="Y76" s="71"/>
      <c r="Z76" s="72"/>
      <c r="AA76" s="70"/>
      <c r="AB76" s="72"/>
      <c r="AC76" s="70"/>
      <c r="AD76" s="70"/>
      <c r="AE76" s="70"/>
      <c r="AF76" s="72"/>
      <c r="AG76" s="70"/>
      <c r="AH76" s="72"/>
      <c r="AI76" s="70"/>
      <c r="AJ76" s="72"/>
      <c r="AK76" s="72"/>
      <c r="AL76" s="71"/>
      <c r="AM76" s="71"/>
      <c r="AN76" s="73"/>
      <c r="AO76" s="164"/>
      <c r="AP76" s="71"/>
      <c r="AQ76" s="71"/>
      <c r="AR76" s="71"/>
      <c r="AS76" s="71"/>
      <c r="AT76" s="71"/>
      <c r="AU76" s="71"/>
      <c r="AV76" s="71"/>
      <c r="AW76" s="71"/>
      <c r="AX76" s="74"/>
    </row>
    <row r="77" spans="1:50" ht="15.75" customHeight="1">
      <c r="B77" s="64"/>
      <c r="C77" s="69"/>
      <c r="D77" s="69"/>
      <c r="E77" s="69"/>
      <c r="F77" s="70"/>
      <c r="G77" s="70"/>
      <c r="H77" s="70"/>
      <c r="I77" s="70"/>
      <c r="J77" s="70"/>
      <c r="K77" s="70"/>
      <c r="L77" s="70"/>
      <c r="M77" s="70"/>
      <c r="N77" s="71"/>
      <c r="O77" s="70"/>
      <c r="P77" s="70"/>
      <c r="Q77" s="70"/>
      <c r="R77" s="70"/>
      <c r="S77" s="70"/>
      <c r="T77" s="70"/>
      <c r="U77" s="70"/>
      <c r="V77" s="70"/>
      <c r="W77" s="70"/>
      <c r="X77" s="70"/>
      <c r="Y77" s="71"/>
      <c r="Z77" s="72"/>
      <c r="AA77" s="70"/>
      <c r="AB77" s="72"/>
      <c r="AC77" s="70"/>
      <c r="AD77" s="70"/>
      <c r="AE77" s="70"/>
      <c r="AF77" s="72"/>
      <c r="AG77" s="70"/>
      <c r="AH77" s="72"/>
      <c r="AI77" s="70"/>
      <c r="AJ77" s="72"/>
      <c r="AK77" s="72"/>
      <c r="AL77" s="71"/>
      <c r="AM77" s="71"/>
      <c r="AN77" s="73"/>
      <c r="AO77" s="164"/>
      <c r="AP77" s="71"/>
      <c r="AQ77" s="71"/>
      <c r="AR77" s="71"/>
      <c r="AS77" s="71"/>
      <c r="AT77" s="71"/>
      <c r="AU77" s="71"/>
      <c r="AV77" s="71"/>
      <c r="AW77" s="71"/>
      <c r="AX77" s="74"/>
    </row>
    <row r="78" spans="1:50">
      <c r="B78" s="69"/>
      <c r="C78" s="69"/>
      <c r="D78" s="69"/>
      <c r="E78" s="69"/>
      <c r="F78" s="70"/>
      <c r="G78" s="70"/>
      <c r="H78" s="70"/>
      <c r="I78" s="70"/>
      <c r="J78" s="70"/>
      <c r="K78" s="70"/>
      <c r="L78" s="70"/>
      <c r="M78" s="70"/>
      <c r="N78" s="71"/>
      <c r="O78" s="70"/>
      <c r="P78" s="70"/>
      <c r="Q78" s="70"/>
      <c r="R78" s="70"/>
      <c r="S78" s="70"/>
      <c r="T78" s="70"/>
      <c r="U78" s="70"/>
      <c r="V78" s="70"/>
      <c r="W78" s="70"/>
      <c r="X78" s="70"/>
      <c r="Y78" s="71"/>
      <c r="Z78" s="72"/>
      <c r="AA78" s="70"/>
      <c r="AB78" s="72"/>
      <c r="AC78" s="70"/>
      <c r="AD78" s="70"/>
      <c r="AE78" s="70"/>
      <c r="AF78" s="72"/>
      <c r="AG78" s="70"/>
      <c r="AH78" s="72"/>
      <c r="AI78" s="70"/>
      <c r="AJ78" s="72"/>
      <c r="AK78" s="72"/>
      <c r="AL78" s="71"/>
      <c r="AM78" s="71"/>
      <c r="AN78" s="73"/>
      <c r="AO78" s="164"/>
      <c r="AP78" s="71"/>
      <c r="AQ78" s="71"/>
      <c r="AR78" s="71"/>
      <c r="AS78" s="71"/>
      <c r="AT78" s="71"/>
      <c r="AU78" s="71"/>
      <c r="AV78" s="71"/>
      <c r="AW78" s="71"/>
      <c r="AX78" s="74"/>
    </row>
    <row r="79" spans="1:50">
      <c r="B79" s="76"/>
      <c r="C79" s="76"/>
      <c r="D79" s="76"/>
      <c r="E79" s="76"/>
      <c r="F79" s="70"/>
      <c r="G79" s="70"/>
      <c r="H79" s="70"/>
      <c r="I79" s="70"/>
      <c r="J79" s="70"/>
      <c r="K79" s="70"/>
      <c r="L79" s="70"/>
      <c r="M79" s="70"/>
      <c r="N79" s="71"/>
      <c r="O79" s="70"/>
      <c r="P79" s="70"/>
      <c r="Q79" s="70"/>
      <c r="R79" s="70"/>
      <c r="S79" s="70"/>
      <c r="T79" s="70"/>
      <c r="U79" s="70"/>
      <c r="V79" s="70"/>
      <c r="W79" s="70"/>
      <c r="X79" s="70"/>
      <c r="Y79" s="71"/>
      <c r="Z79" s="72"/>
      <c r="AA79" s="70"/>
      <c r="AB79" s="72"/>
      <c r="AC79" s="70"/>
      <c r="AD79" s="70"/>
      <c r="AE79" s="70"/>
      <c r="AF79" s="72"/>
      <c r="AG79" s="70"/>
      <c r="AH79" s="72"/>
      <c r="AI79" s="70"/>
      <c r="AJ79" s="72"/>
      <c r="AK79" s="72"/>
      <c r="AL79" s="71"/>
      <c r="AM79" s="71"/>
      <c r="AN79" s="73"/>
      <c r="AO79" s="164"/>
      <c r="AP79" s="71"/>
      <c r="AQ79" s="71"/>
      <c r="AR79" s="71"/>
      <c r="AS79" s="71"/>
      <c r="AT79" s="71"/>
      <c r="AU79" s="71"/>
      <c r="AV79" s="71"/>
      <c r="AW79" s="71"/>
      <c r="AX79" s="74"/>
    </row>
    <row r="80" spans="1:50">
      <c r="B80" s="64"/>
      <c r="C80" s="69"/>
      <c r="D80" s="69"/>
      <c r="E80" s="69"/>
      <c r="F80" s="70"/>
      <c r="G80" s="70"/>
      <c r="H80" s="70"/>
      <c r="I80" s="70"/>
      <c r="J80" s="70"/>
      <c r="K80" s="70"/>
      <c r="L80" s="70"/>
      <c r="M80" s="70"/>
      <c r="N80" s="71"/>
      <c r="O80" s="70"/>
      <c r="P80" s="70"/>
      <c r="Q80" s="70"/>
      <c r="R80" s="70"/>
      <c r="S80" s="70"/>
      <c r="T80" s="70"/>
      <c r="U80" s="70"/>
      <c r="V80" s="70"/>
      <c r="W80" s="70"/>
      <c r="X80" s="70"/>
      <c r="Y80" s="71"/>
      <c r="Z80" s="72"/>
      <c r="AA80" s="70"/>
      <c r="AB80" s="72"/>
      <c r="AC80" s="70"/>
      <c r="AD80" s="70"/>
      <c r="AE80" s="70"/>
      <c r="AF80" s="72"/>
      <c r="AG80" s="70"/>
      <c r="AH80" s="72"/>
      <c r="AI80" s="70"/>
      <c r="AJ80" s="72"/>
      <c r="AK80" s="72"/>
      <c r="AL80" s="71"/>
      <c r="AM80" s="71"/>
      <c r="AN80" s="73"/>
      <c r="AO80" s="164"/>
      <c r="AP80" s="71"/>
      <c r="AQ80" s="71"/>
      <c r="AR80" s="71"/>
      <c r="AS80" s="71"/>
      <c r="AT80" s="71"/>
      <c r="AU80" s="71"/>
      <c r="AV80" s="71"/>
      <c r="AW80" s="71"/>
      <c r="AX80" s="74"/>
    </row>
    <row r="81" spans="1:50">
      <c r="B81" s="64"/>
      <c r="C81" s="69"/>
      <c r="D81" s="69"/>
      <c r="E81" s="69"/>
      <c r="F81" s="70"/>
      <c r="G81" s="70"/>
      <c r="H81" s="70"/>
      <c r="I81" s="70"/>
      <c r="J81" s="70"/>
      <c r="K81" s="70"/>
      <c r="L81" s="70"/>
      <c r="M81" s="70"/>
      <c r="N81" s="71"/>
      <c r="O81" s="70"/>
      <c r="P81" s="70"/>
      <c r="Q81" s="70"/>
      <c r="R81" s="70"/>
      <c r="S81" s="70"/>
      <c r="T81" s="70"/>
      <c r="U81" s="70"/>
      <c r="V81" s="70"/>
      <c r="W81" s="70"/>
      <c r="X81" s="70"/>
      <c r="Y81" s="71"/>
      <c r="Z81" s="72"/>
      <c r="AA81" s="70"/>
      <c r="AB81" s="72"/>
      <c r="AC81" s="70"/>
      <c r="AD81" s="70"/>
      <c r="AE81" s="70"/>
      <c r="AF81" s="72"/>
      <c r="AG81" s="70"/>
      <c r="AH81" s="72"/>
      <c r="AI81" s="70"/>
      <c r="AJ81" s="72"/>
      <c r="AK81" s="72"/>
      <c r="AL81" s="71"/>
      <c r="AM81" s="71"/>
      <c r="AN81" s="73"/>
      <c r="AO81" s="164"/>
      <c r="AP81" s="71"/>
      <c r="AQ81" s="71"/>
      <c r="AR81" s="71"/>
      <c r="AS81" s="71"/>
      <c r="AT81" s="71"/>
      <c r="AU81" s="71"/>
      <c r="AV81" s="71"/>
      <c r="AW81" s="71"/>
      <c r="AX81" s="74"/>
    </row>
    <row r="82" spans="1:50">
      <c r="A82" s="75"/>
      <c r="B82" s="64"/>
      <c r="C82" s="69"/>
      <c r="D82" s="69"/>
      <c r="E82" s="69"/>
      <c r="F82" s="70"/>
      <c r="G82" s="70"/>
      <c r="H82" s="70"/>
      <c r="I82" s="70"/>
      <c r="J82" s="70"/>
      <c r="K82" s="70"/>
      <c r="L82" s="70"/>
      <c r="M82" s="70"/>
      <c r="N82" s="71"/>
      <c r="O82" s="70"/>
      <c r="P82" s="70"/>
      <c r="Q82" s="70"/>
      <c r="R82" s="70"/>
      <c r="S82" s="70"/>
      <c r="T82" s="70"/>
      <c r="U82" s="70"/>
      <c r="V82" s="70"/>
      <c r="W82" s="70"/>
      <c r="X82" s="70"/>
      <c r="Y82" s="71"/>
      <c r="Z82" s="72"/>
      <c r="AA82" s="70"/>
      <c r="AB82" s="72"/>
      <c r="AC82" s="70"/>
      <c r="AD82" s="70"/>
      <c r="AE82" s="70"/>
      <c r="AF82" s="72"/>
      <c r="AG82" s="70"/>
      <c r="AH82" s="72"/>
      <c r="AI82" s="70"/>
      <c r="AJ82" s="72"/>
      <c r="AK82" s="72"/>
      <c r="AL82" s="71"/>
      <c r="AM82" s="71"/>
      <c r="AN82" s="73"/>
      <c r="AO82" s="164"/>
      <c r="AP82" s="71"/>
      <c r="AQ82" s="71"/>
      <c r="AR82" s="71"/>
      <c r="AS82" s="71"/>
      <c r="AT82" s="71"/>
      <c r="AU82" s="71"/>
      <c r="AV82" s="71"/>
      <c r="AW82" s="71"/>
      <c r="AX82" s="74"/>
    </row>
    <row r="83" spans="1:50">
      <c r="B83" s="64"/>
      <c r="C83" s="69"/>
      <c r="D83" s="69"/>
      <c r="E83" s="69"/>
      <c r="F83" s="70"/>
      <c r="G83" s="70"/>
      <c r="H83" s="70"/>
      <c r="I83" s="70"/>
      <c r="J83" s="70"/>
      <c r="K83" s="70"/>
      <c r="L83" s="70"/>
      <c r="M83" s="70"/>
      <c r="N83" s="71"/>
      <c r="O83" s="70"/>
      <c r="P83" s="70"/>
      <c r="Q83" s="70"/>
      <c r="R83" s="70"/>
      <c r="S83" s="70"/>
      <c r="T83" s="70"/>
      <c r="U83" s="70"/>
      <c r="V83" s="70"/>
      <c r="W83" s="70"/>
      <c r="X83" s="70"/>
      <c r="Y83" s="71"/>
      <c r="Z83" s="72"/>
      <c r="AA83" s="70"/>
      <c r="AB83" s="72"/>
      <c r="AC83" s="70"/>
      <c r="AD83" s="70"/>
      <c r="AE83" s="70"/>
      <c r="AF83" s="72"/>
      <c r="AG83" s="70"/>
      <c r="AH83" s="72"/>
      <c r="AI83" s="70"/>
      <c r="AJ83" s="72"/>
      <c r="AK83" s="72"/>
      <c r="AL83" s="71"/>
      <c r="AM83" s="71"/>
      <c r="AN83" s="73"/>
      <c r="AO83" s="164"/>
      <c r="AP83" s="71"/>
      <c r="AQ83" s="71"/>
      <c r="AR83" s="71"/>
      <c r="AS83" s="71"/>
      <c r="AT83" s="71"/>
      <c r="AU83" s="71"/>
      <c r="AV83" s="71"/>
      <c r="AW83" s="71"/>
      <c r="AX83" s="74"/>
    </row>
    <row r="84" spans="1:50">
      <c r="B84" s="64"/>
      <c r="C84" s="69"/>
      <c r="D84" s="69"/>
      <c r="E84" s="69"/>
      <c r="F84" s="70"/>
      <c r="G84" s="70"/>
      <c r="H84" s="70"/>
      <c r="I84" s="70"/>
      <c r="J84" s="70"/>
      <c r="K84" s="70"/>
      <c r="L84" s="70"/>
      <c r="M84" s="70"/>
      <c r="N84" s="71"/>
      <c r="O84" s="70"/>
      <c r="P84" s="70"/>
      <c r="Q84" s="70"/>
      <c r="R84" s="70"/>
      <c r="S84" s="70"/>
      <c r="T84" s="70"/>
      <c r="U84" s="70"/>
      <c r="V84" s="70"/>
      <c r="W84" s="70"/>
      <c r="X84" s="70"/>
      <c r="Y84" s="71"/>
      <c r="Z84" s="72"/>
      <c r="AA84" s="70"/>
      <c r="AB84" s="72"/>
      <c r="AC84" s="70"/>
      <c r="AD84" s="70"/>
      <c r="AE84" s="70"/>
      <c r="AF84" s="72"/>
      <c r="AG84" s="70"/>
      <c r="AH84" s="72"/>
      <c r="AI84" s="70"/>
      <c r="AJ84" s="72"/>
      <c r="AK84" s="72"/>
      <c r="AL84" s="71"/>
      <c r="AM84" s="71"/>
      <c r="AN84" s="73"/>
      <c r="AO84" s="164"/>
      <c r="AP84" s="71"/>
      <c r="AQ84" s="71"/>
      <c r="AR84" s="71"/>
      <c r="AS84" s="71"/>
      <c r="AT84" s="71"/>
      <c r="AU84" s="71"/>
      <c r="AV84" s="71"/>
      <c r="AW84" s="71"/>
      <c r="AX84" s="74"/>
    </row>
    <row r="85" spans="1:50">
      <c r="B85" s="76"/>
      <c r="C85" s="76"/>
      <c r="D85" s="76"/>
      <c r="E85" s="76"/>
      <c r="F85" s="70"/>
      <c r="G85" s="70"/>
      <c r="H85" s="70"/>
      <c r="I85" s="70"/>
      <c r="J85" s="70"/>
      <c r="K85" s="70"/>
      <c r="L85" s="70"/>
      <c r="M85" s="70"/>
      <c r="N85" s="71"/>
      <c r="O85" s="70"/>
      <c r="P85" s="70"/>
      <c r="Q85" s="70"/>
      <c r="R85" s="70"/>
      <c r="S85" s="70"/>
      <c r="T85" s="70"/>
      <c r="U85" s="70"/>
      <c r="V85" s="70"/>
      <c r="W85" s="70"/>
      <c r="X85" s="70"/>
      <c r="Y85" s="71"/>
      <c r="Z85" s="72"/>
      <c r="AA85" s="70"/>
      <c r="AB85" s="72"/>
      <c r="AC85" s="70"/>
      <c r="AD85" s="70"/>
      <c r="AE85" s="70"/>
      <c r="AF85" s="72"/>
      <c r="AG85" s="70"/>
      <c r="AH85" s="72"/>
      <c r="AI85" s="70"/>
      <c r="AJ85" s="72"/>
      <c r="AK85" s="72"/>
      <c r="AL85" s="71"/>
      <c r="AM85" s="71"/>
      <c r="AN85" s="73"/>
      <c r="AO85" s="164"/>
      <c r="AP85" s="71"/>
      <c r="AQ85" s="71"/>
      <c r="AR85" s="71"/>
      <c r="AS85" s="71"/>
      <c r="AT85" s="71"/>
      <c r="AU85" s="71"/>
      <c r="AV85" s="71"/>
      <c r="AW85" s="71"/>
      <c r="AX85" s="74"/>
    </row>
    <row r="86" spans="1:50">
      <c r="B86" s="76"/>
      <c r="C86" s="76"/>
      <c r="D86" s="76"/>
      <c r="E86" s="76"/>
      <c r="F86" s="70"/>
      <c r="G86" s="70"/>
      <c r="H86" s="70"/>
      <c r="I86" s="70"/>
      <c r="J86" s="70"/>
      <c r="K86" s="70"/>
      <c r="L86" s="70"/>
      <c r="M86" s="70"/>
      <c r="N86" s="71"/>
      <c r="O86" s="70"/>
      <c r="P86" s="70"/>
      <c r="Q86" s="70"/>
      <c r="R86" s="70"/>
      <c r="S86" s="70"/>
      <c r="T86" s="70"/>
      <c r="U86" s="70"/>
      <c r="V86" s="70"/>
      <c r="W86" s="70"/>
      <c r="X86" s="70"/>
      <c r="Y86" s="71"/>
      <c r="Z86" s="72"/>
      <c r="AA86" s="70"/>
      <c r="AB86" s="72"/>
      <c r="AC86" s="70"/>
      <c r="AD86" s="70"/>
      <c r="AE86" s="70"/>
      <c r="AF86" s="72"/>
      <c r="AG86" s="70"/>
      <c r="AH86" s="72"/>
      <c r="AI86" s="70"/>
      <c r="AJ86" s="72"/>
      <c r="AK86" s="72"/>
      <c r="AL86" s="71"/>
      <c r="AM86" s="71"/>
      <c r="AN86" s="73"/>
      <c r="AO86" s="164"/>
      <c r="AP86" s="71"/>
      <c r="AQ86" s="71"/>
      <c r="AR86" s="71"/>
      <c r="AS86" s="71"/>
      <c r="AT86" s="71"/>
      <c r="AU86" s="71"/>
      <c r="AV86" s="71"/>
      <c r="AW86" s="71"/>
      <c r="AX86" s="74"/>
    </row>
    <row r="87" spans="1:50">
      <c r="B87" s="64"/>
      <c r="C87" s="69"/>
      <c r="D87" s="69"/>
      <c r="E87" s="69"/>
      <c r="F87" s="70"/>
      <c r="G87" s="70"/>
      <c r="H87" s="70"/>
      <c r="I87" s="70"/>
      <c r="J87" s="70"/>
      <c r="K87" s="70"/>
      <c r="L87" s="70"/>
      <c r="M87" s="70"/>
      <c r="N87" s="71"/>
      <c r="O87" s="70"/>
      <c r="P87" s="70"/>
      <c r="Q87" s="70"/>
      <c r="R87" s="70"/>
      <c r="S87" s="70"/>
      <c r="T87" s="70"/>
      <c r="U87" s="70"/>
      <c r="V87" s="70"/>
      <c r="W87" s="70"/>
      <c r="X87" s="70"/>
      <c r="Y87" s="71"/>
      <c r="Z87" s="72"/>
      <c r="AA87" s="70"/>
      <c r="AB87" s="72"/>
      <c r="AC87" s="70"/>
      <c r="AD87" s="70"/>
      <c r="AE87" s="70"/>
      <c r="AF87" s="72"/>
      <c r="AG87" s="70"/>
      <c r="AH87" s="72"/>
      <c r="AI87" s="70"/>
      <c r="AJ87" s="72"/>
      <c r="AK87" s="72"/>
      <c r="AL87" s="71"/>
      <c r="AM87" s="71"/>
      <c r="AN87" s="73"/>
      <c r="AO87" s="164"/>
      <c r="AP87" s="71"/>
      <c r="AQ87" s="71"/>
      <c r="AR87" s="71"/>
      <c r="AS87" s="71"/>
      <c r="AT87" s="71"/>
      <c r="AU87" s="71"/>
      <c r="AV87" s="71"/>
      <c r="AW87" s="71"/>
      <c r="AX87" s="74"/>
    </row>
    <row r="88" spans="1:50">
      <c r="B88" s="76"/>
      <c r="C88" s="76"/>
      <c r="D88" s="76"/>
      <c r="E88" s="76"/>
      <c r="F88" s="70"/>
      <c r="G88" s="70"/>
      <c r="H88" s="70"/>
      <c r="I88" s="70"/>
      <c r="J88" s="70"/>
      <c r="K88" s="70"/>
      <c r="L88" s="70"/>
      <c r="M88" s="70"/>
      <c r="N88" s="71"/>
      <c r="O88" s="70"/>
      <c r="P88" s="70"/>
      <c r="Q88" s="70"/>
      <c r="R88" s="70"/>
      <c r="S88" s="70"/>
      <c r="T88" s="70"/>
      <c r="U88" s="70"/>
      <c r="V88" s="70"/>
      <c r="W88" s="70"/>
      <c r="X88" s="70"/>
      <c r="Y88" s="71"/>
      <c r="Z88" s="72"/>
      <c r="AA88" s="70"/>
      <c r="AB88" s="72"/>
      <c r="AC88" s="70"/>
      <c r="AD88" s="70"/>
      <c r="AE88" s="70"/>
      <c r="AF88" s="72"/>
      <c r="AG88" s="70"/>
      <c r="AH88" s="72"/>
      <c r="AI88" s="70"/>
      <c r="AJ88" s="72"/>
      <c r="AK88" s="72"/>
      <c r="AL88" s="71"/>
      <c r="AM88" s="71"/>
      <c r="AN88" s="73"/>
      <c r="AO88" s="164"/>
      <c r="AP88" s="71"/>
      <c r="AQ88" s="71"/>
      <c r="AR88" s="71"/>
      <c r="AS88" s="71"/>
      <c r="AT88" s="71"/>
      <c r="AU88" s="71"/>
      <c r="AV88" s="71"/>
      <c r="AW88" s="71"/>
      <c r="AX88" s="74"/>
    </row>
    <row r="89" spans="1:50">
      <c r="B89" s="64"/>
      <c r="C89" s="69"/>
      <c r="D89" s="69"/>
      <c r="E89" s="69"/>
      <c r="F89" s="70"/>
      <c r="G89" s="70"/>
      <c r="H89" s="70"/>
      <c r="I89" s="70"/>
      <c r="J89" s="70"/>
      <c r="K89" s="70"/>
      <c r="L89" s="70"/>
      <c r="M89" s="70"/>
      <c r="N89" s="71"/>
      <c r="O89" s="70"/>
      <c r="P89" s="70"/>
      <c r="Q89" s="70"/>
      <c r="R89" s="70"/>
      <c r="S89" s="70"/>
      <c r="T89" s="70"/>
      <c r="U89" s="70"/>
      <c r="V89" s="70"/>
      <c r="W89" s="70"/>
      <c r="X89" s="70"/>
      <c r="Y89" s="71"/>
      <c r="Z89" s="72"/>
      <c r="AA89" s="70"/>
      <c r="AB89" s="72"/>
      <c r="AC89" s="70"/>
      <c r="AD89" s="70"/>
      <c r="AE89" s="70"/>
      <c r="AF89" s="72"/>
      <c r="AG89" s="70"/>
      <c r="AH89" s="72"/>
      <c r="AI89" s="70"/>
      <c r="AJ89" s="72"/>
      <c r="AK89" s="72"/>
      <c r="AL89" s="71"/>
      <c r="AM89" s="71"/>
      <c r="AN89" s="73"/>
      <c r="AO89" s="164"/>
      <c r="AP89" s="71"/>
      <c r="AQ89" s="71"/>
      <c r="AR89" s="71"/>
      <c r="AS89" s="71"/>
      <c r="AT89" s="71"/>
      <c r="AU89" s="71"/>
      <c r="AV89" s="71"/>
      <c r="AW89" s="71"/>
      <c r="AX89" s="74"/>
    </row>
    <row r="90" spans="1:50">
      <c r="B90" s="76"/>
      <c r="C90" s="76"/>
      <c r="D90" s="76"/>
      <c r="E90" s="76"/>
      <c r="F90" s="70"/>
      <c r="G90" s="70"/>
      <c r="H90" s="70"/>
      <c r="I90" s="70"/>
      <c r="J90" s="70"/>
      <c r="K90" s="70"/>
      <c r="L90" s="70"/>
      <c r="M90" s="70"/>
      <c r="N90" s="71"/>
      <c r="O90" s="70"/>
      <c r="P90" s="70"/>
      <c r="Q90" s="70"/>
      <c r="R90" s="70"/>
      <c r="S90" s="70"/>
      <c r="T90" s="70"/>
      <c r="U90" s="70"/>
      <c r="V90" s="70"/>
      <c r="W90" s="70"/>
      <c r="X90" s="70"/>
      <c r="Y90" s="71"/>
      <c r="Z90" s="72"/>
      <c r="AA90" s="70"/>
      <c r="AB90" s="72"/>
      <c r="AC90" s="70"/>
      <c r="AD90" s="70"/>
      <c r="AE90" s="70"/>
      <c r="AF90" s="72"/>
      <c r="AG90" s="70"/>
      <c r="AH90" s="72"/>
      <c r="AI90" s="70"/>
      <c r="AJ90" s="72"/>
      <c r="AK90" s="72"/>
      <c r="AL90" s="71"/>
      <c r="AM90" s="71"/>
      <c r="AN90" s="73"/>
      <c r="AO90" s="164"/>
      <c r="AP90" s="71"/>
      <c r="AQ90" s="71"/>
      <c r="AR90" s="71"/>
      <c r="AS90" s="71"/>
      <c r="AT90" s="71"/>
      <c r="AU90" s="71"/>
      <c r="AV90" s="71"/>
      <c r="AW90" s="71"/>
      <c r="AX90" s="74"/>
    </row>
    <row r="91" spans="1:50">
      <c r="B91" s="64"/>
      <c r="C91" s="69"/>
      <c r="D91" s="69"/>
      <c r="E91" s="69"/>
      <c r="F91" s="70"/>
      <c r="G91" s="70"/>
      <c r="H91" s="70"/>
      <c r="I91" s="70"/>
      <c r="J91" s="70"/>
      <c r="K91" s="70"/>
      <c r="L91" s="70"/>
      <c r="M91" s="70"/>
      <c r="N91" s="71"/>
      <c r="O91" s="70"/>
      <c r="P91" s="70"/>
      <c r="Q91" s="70"/>
      <c r="R91" s="70"/>
      <c r="S91" s="70"/>
      <c r="T91" s="70"/>
      <c r="U91" s="70"/>
      <c r="V91" s="70"/>
      <c r="W91" s="70"/>
      <c r="X91" s="70"/>
      <c r="Y91" s="71"/>
      <c r="Z91" s="72"/>
      <c r="AA91" s="70"/>
      <c r="AB91" s="72"/>
      <c r="AC91" s="70"/>
      <c r="AD91" s="70"/>
      <c r="AE91" s="70"/>
      <c r="AF91" s="72"/>
      <c r="AG91" s="70"/>
      <c r="AH91" s="72"/>
      <c r="AI91" s="70"/>
      <c r="AJ91" s="72"/>
      <c r="AK91" s="72"/>
      <c r="AL91" s="71"/>
      <c r="AM91" s="71"/>
      <c r="AN91" s="73"/>
      <c r="AO91" s="164"/>
      <c r="AP91" s="71"/>
      <c r="AQ91" s="71"/>
      <c r="AR91" s="71"/>
      <c r="AS91" s="71"/>
      <c r="AT91" s="71"/>
      <c r="AU91" s="71"/>
      <c r="AV91" s="71"/>
      <c r="AW91" s="71"/>
      <c r="AX91" s="74"/>
    </row>
    <row r="92" spans="1:50">
      <c r="B92" s="64"/>
      <c r="C92" s="69"/>
      <c r="D92" s="69"/>
      <c r="E92" s="69"/>
      <c r="F92" s="70"/>
      <c r="G92" s="70"/>
      <c r="H92" s="70"/>
      <c r="I92" s="70"/>
      <c r="J92" s="70"/>
      <c r="K92" s="70"/>
      <c r="L92" s="70"/>
      <c r="M92" s="70"/>
      <c r="N92" s="71"/>
      <c r="O92" s="70"/>
      <c r="P92" s="70"/>
      <c r="Q92" s="70"/>
      <c r="R92" s="70"/>
      <c r="S92" s="70"/>
      <c r="T92" s="70"/>
      <c r="U92" s="70"/>
      <c r="V92" s="70"/>
      <c r="W92" s="70"/>
      <c r="X92" s="70"/>
      <c r="Y92" s="71"/>
      <c r="Z92" s="72"/>
      <c r="AA92" s="70"/>
      <c r="AB92" s="72"/>
      <c r="AC92" s="70"/>
      <c r="AD92" s="70"/>
      <c r="AE92" s="70"/>
      <c r="AF92" s="72"/>
      <c r="AG92" s="70"/>
      <c r="AH92" s="72"/>
      <c r="AI92" s="70"/>
      <c r="AJ92" s="72"/>
      <c r="AK92" s="72"/>
      <c r="AL92" s="71"/>
      <c r="AM92" s="71"/>
      <c r="AN92" s="73"/>
      <c r="AO92" s="164"/>
      <c r="AP92" s="71"/>
      <c r="AQ92" s="71"/>
      <c r="AR92" s="71"/>
      <c r="AS92" s="71"/>
      <c r="AT92" s="71"/>
      <c r="AU92" s="71"/>
      <c r="AV92" s="71"/>
      <c r="AW92" s="71"/>
      <c r="AX92" s="74"/>
    </row>
    <row r="93" spans="1:50">
      <c r="B93" s="76"/>
      <c r="C93" s="76"/>
      <c r="D93" s="76"/>
      <c r="E93" s="76"/>
      <c r="F93" s="70"/>
      <c r="G93" s="70"/>
      <c r="H93" s="70"/>
      <c r="I93" s="70"/>
      <c r="J93" s="70"/>
      <c r="K93" s="70"/>
      <c r="L93" s="70"/>
      <c r="M93" s="70"/>
      <c r="N93" s="71"/>
      <c r="O93" s="70"/>
      <c r="P93" s="70"/>
      <c r="Q93" s="70"/>
      <c r="R93" s="70"/>
      <c r="S93" s="70"/>
      <c r="T93" s="70"/>
      <c r="U93" s="70"/>
      <c r="V93" s="70"/>
      <c r="W93" s="70"/>
      <c r="X93" s="70"/>
      <c r="Y93" s="71"/>
      <c r="Z93" s="72"/>
      <c r="AA93" s="70"/>
      <c r="AB93" s="72"/>
      <c r="AC93" s="70"/>
      <c r="AD93" s="70"/>
      <c r="AE93" s="70"/>
      <c r="AF93" s="72"/>
      <c r="AG93" s="70"/>
      <c r="AH93" s="72"/>
      <c r="AI93" s="70"/>
      <c r="AJ93" s="72"/>
      <c r="AK93" s="72"/>
      <c r="AL93" s="71"/>
      <c r="AM93" s="71"/>
      <c r="AN93" s="73"/>
      <c r="AO93" s="164"/>
      <c r="AP93" s="71"/>
      <c r="AQ93" s="71"/>
      <c r="AR93" s="71"/>
      <c r="AS93" s="71"/>
      <c r="AT93" s="71"/>
      <c r="AU93" s="71"/>
      <c r="AV93" s="71"/>
      <c r="AW93" s="71"/>
      <c r="AX93" s="74"/>
    </row>
    <row r="94" spans="1:50">
      <c r="B94" s="76"/>
      <c r="C94" s="76"/>
      <c r="D94" s="76"/>
      <c r="E94" s="76"/>
      <c r="F94" s="70"/>
      <c r="G94" s="70"/>
      <c r="H94" s="70"/>
      <c r="I94" s="70"/>
      <c r="J94" s="70"/>
      <c r="K94" s="70"/>
      <c r="L94" s="70"/>
      <c r="M94" s="70"/>
      <c r="N94" s="71"/>
      <c r="O94" s="70"/>
      <c r="P94" s="70"/>
      <c r="Q94" s="70"/>
      <c r="R94" s="70"/>
      <c r="S94" s="70"/>
      <c r="T94" s="70"/>
      <c r="U94" s="70"/>
      <c r="V94" s="70"/>
      <c r="W94" s="70"/>
      <c r="X94" s="70"/>
      <c r="Y94" s="71"/>
      <c r="Z94" s="72"/>
      <c r="AA94" s="70"/>
      <c r="AB94" s="72"/>
      <c r="AC94" s="70"/>
      <c r="AD94" s="70"/>
      <c r="AE94" s="70"/>
      <c r="AF94" s="72"/>
      <c r="AG94" s="70"/>
      <c r="AH94" s="72"/>
      <c r="AI94" s="70"/>
      <c r="AJ94" s="72"/>
      <c r="AK94" s="72"/>
      <c r="AL94" s="71"/>
      <c r="AM94" s="71"/>
      <c r="AN94" s="73"/>
      <c r="AO94" s="164"/>
      <c r="AP94" s="71"/>
      <c r="AQ94" s="71"/>
      <c r="AR94" s="71"/>
      <c r="AS94" s="71"/>
      <c r="AT94" s="71"/>
      <c r="AU94" s="71"/>
      <c r="AV94" s="71"/>
      <c r="AW94" s="71"/>
      <c r="AX94" s="74"/>
    </row>
    <row r="95" spans="1:50">
      <c r="A95" s="75"/>
      <c r="B95" s="76"/>
      <c r="C95" s="76"/>
      <c r="D95" s="76"/>
      <c r="E95" s="76"/>
      <c r="F95" s="70"/>
      <c r="G95" s="70"/>
      <c r="H95" s="70"/>
      <c r="I95" s="70"/>
      <c r="J95" s="70"/>
      <c r="K95" s="70"/>
      <c r="L95" s="70"/>
      <c r="M95" s="70"/>
      <c r="N95" s="71"/>
      <c r="O95" s="70"/>
      <c r="P95" s="70"/>
      <c r="Q95" s="70"/>
      <c r="R95" s="70"/>
      <c r="S95" s="70"/>
      <c r="T95" s="70"/>
      <c r="U95" s="70"/>
      <c r="V95" s="70"/>
      <c r="W95" s="70"/>
      <c r="X95" s="70"/>
      <c r="Y95" s="71"/>
      <c r="Z95" s="72"/>
      <c r="AA95" s="70"/>
      <c r="AB95" s="72"/>
      <c r="AC95" s="70"/>
      <c r="AD95" s="70"/>
      <c r="AE95" s="70"/>
      <c r="AF95" s="72"/>
      <c r="AG95" s="70"/>
      <c r="AH95" s="72"/>
      <c r="AI95" s="70"/>
      <c r="AJ95" s="72"/>
      <c r="AK95" s="72"/>
      <c r="AL95" s="71"/>
      <c r="AM95" s="71"/>
      <c r="AN95" s="73"/>
      <c r="AO95" s="164"/>
      <c r="AP95" s="71"/>
      <c r="AQ95" s="71"/>
      <c r="AR95" s="71"/>
      <c r="AS95" s="71"/>
      <c r="AT95" s="71"/>
      <c r="AU95" s="71"/>
      <c r="AV95" s="71"/>
      <c r="AW95" s="71"/>
      <c r="AX95" s="74"/>
    </row>
    <row r="96" spans="1:50" ht="14.25" customHeight="1"/>
    <row r="97" spans="2:2" ht="14.25">
      <c r="B97" s="43"/>
    </row>
    <row r="99" spans="2:2" ht="14.25"/>
    <row r="100" spans="2:2" ht="14.25"/>
    <row r="101" spans="2:2" ht="14.25"/>
    <row r="102" spans="2:2" ht="14.25"/>
    <row r="105" spans="2:2" ht="14.25"/>
    <row r="106" spans="2:2" ht="14.25"/>
    <row r="107" spans="2:2" ht="14.25"/>
    <row r="108" spans="2:2" ht="14.25"/>
    <row r="109" spans="2:2" ht="14.25"/>
    <row r="110" spans="2:2" ht="14.25"/>
    <row r="113" ht="14.25"/>
    <row r="114" ht="14.25"/>
    <row r="115" ht="14.25"/>
    <row r="116" ht="14.25"/>
    <row r="117" ht="14.25"/>
    <row r="118" ht="14.25"/>
  </sheetData>
  <mergeCells count="23">
    <mergeCell ref="AR3:AS3"/>
    <mergeCell ref="AT3:AU3"/>
    <mergeCell ref="Z2:AL2"/>
    <mergeCell ref="O2:Y2"/>
    <mergeCell ref="U3:V3"/>
    <mergeCell ref="S3:T3"/>
    <mergeCell ref="O3:P3"/>
    <mergeCell ref="AX2:AX10"/>
    <mergeCell ref="C2:E2"/>
    <mergeCell ref="Y6:Y10"/>
    <mergeCell ref="B1:AO1"/>
    <mergeCell ref="Q3:R3"/>
    <mergeCell ref="F2:N2"/>
    <mergeCell ref="AH3:AI3"/>
    <mergeCell ref="AF3:AG3"/>
    <mergeCell ref="AB3:AC3"/>
    <mergeCell ref="Z3:AA3"/>
    <mergeCell ref="L3:M3"/>
    <mergeCell ref="J3:K3"/>
    <mergeCell ref="H3:I3"/>
    <mergeCell ref="F3:G3"/>
    <mergeCell ref="AP2:AV2"/>
    <mergeCell ref="AP3:AQ3"/>
  </mergeCells>
  <conditionalFormatting sqref="F27:G94">
    <cfRule type="colorScale" priority="2611">
      <colorScale>
        <cfvo type="min"/>
        <cfvo type="percentile" val="50"/>
        <cfvo type="max"/>
        <color rgb="FF63BE7B"/>
        <color rgb="FFFFEB84"/>
        <color rgb="FFF8696B"/>
      </colorScale>
    </cfRule>
  </conditionalFormatting>
  <conditionalFormatting sqref="F95:G95">
    <cfRule type="colorScale" priority="2215">
      <colorScale>
        <cfvo type="min"/>
        <cfvo type="percentile" val="50"/>
        <cfvo type="max"/>
        <color rgb="FF63BE7B"/>
        <color rgb="FFFFEB84"/>
        <color rgb="FFF8696B"/>
      </colorScale>
    </cfRule>
  </conditionalFormatting>
  <conditionalFormatting sqref="F27:M95">
    <cfRule type="colorScale" priority="2612">
      <colorScale>
        <cfvo type="min"/>
        <cfvo type="percentile" val="50"/>
        <cfvo type="max"/>
        <color rgb="FF63BE7B"/>
        <color rgb="FFFFEB84"/>
        <color rgb="FFF8696B"/>
      </colorScale>
    </cfRule>
  </conditionalFormatting>
  <conditionalFormatting sqref="G12:G19">
    <cfRule type="colorScale" priority="2721">
      <colorScale>
        <cfvo type="min"/>
        <cfvo type="percentile" val="50"/>
        <cfvo type="max"/>
        <color rgb="FFF8696B"/>
        <color rgb="FFFFEB84"/>
        <color rgb="FF63BE7B"/>
      </colorScale>
    </cfRule>
    <cfRule type="colorScale" priority="2720">
      <colorScale>
        <cfvo type="min"/>
        <cfvo type="percentile" val="50"/>
        <cfvo type="max"/>
        <color rgb="FF63BE7B"/>
        <color rgb="FFFFEB84"/>
        <color rgb="FFF8696B"/>
      </colorScale>
    </cfRule>
  </conditionalFormatting>
  <conditionalFormatting sqref="G12:G26">
    <cfRule type="colorScale" priority="31">
      <colorScale>
        <cfvo type="min"/>
        <cfvo type="percentile" val="50"/>
        <cfvo type="max"/>
        <color rgb="FFF8696B"/>
        <color rgb="FFFFEB84"/>
        <color rgb="FF63BE7B"/>
      </colorScale>
    </cfRule>
  </conditionalFormatting>
  <conditionalFormatting sqref="G17:G19 G12:M16 H17:M26">
    <cfRule type="colorScale" priority="2722">
      <colorScale>
        <cfvo type="min"/>
        <cfvo type="percentile" val="50"/>
        <cfvo type="max"/>
        <color rgb="FF63BE7B"/>
        <color rgb="FFFFEB84"/>
        <color rgb="FFF8696B"/>
      </colorScale>
    </cfRule>
  </conditionalFormatting>
  <conditionalFormatting sqref="G20:G26 AL27:AN95">
    <cfRule type="colorScale" priority="32">
      <colorScale>
        <cfvo type="num" val="5"/>
        <cfvo type="num" val="15"/>
        <cfvo type="num" val="25"/>
        <color rgb="FF357F48"/>
        <color rgb="FFFFC000"/>
        <color rgb="FFFF0000"/>
      </colorScale>
    </cfRule>
  </conditionalFormatting>
  <conditionalFormatting sqref="N12:N26">
    <cfRule type="colorScale" priority="30">
      <colorScale>
        <cfvo type="min"/>
        <cfvo type="percentile" val="50"/>
        <cfvo type="max"/>
        <color rgb="FF63BE7B"/>
        <color rgb="FFFFEB84"/>
        <color rgb="FFF8696B"/>
      </colorScale>
    </cfRule>
  </conditionalFormatting>
  <conditionalFormatting sqref="N12:N40 Y27:Y39">
    <cfRule type="colorScale" priority="2218">
      <colorScale>
        <cfvo type="num" val="5"/>
        <cfvo type="num" val="15"/>
        <cfvo type="num" val="25"/>
        <color rgb="FF357F48"/>
        <color rgb="FFFFC000"/>
        <color rgb="FFFF0000"/>
      </colorScale>
    </cfRule>
  </conditionalFormatting>
  <conditionalFormatting sqref="N40:N78 Y40:Y78">
    <cfRule type="colorScale" priority="2217">
      <colorScale>
        <cfvo type="num" val="5"/>
        <cfvo type="num" val="15"/>
        <cfvo type="num" val="25"/>
        <color rgb="FF357F48"/>
        <color rgb="FFFFC000"/>
        <color rgb="FFFF0000"/>
      </colorScale>
    </cfRule>
  </conditionalFormatting>
  <conditionalFormatting sqref="N79:N94 Y79:Y94">
    <cfRule type="colorScale" priority="2216">
      <colorScale>
        <cfvo type="num" val="5"/>
        <cfvo type="num" val="15"/>
        <cfvo type="num" val="25"/>
        <color rgb="FF357F48"/>
        <color rgb="FFFFC000"/>
        <color rgb="FFFF0000"/>
      </colorScale>
    </cfRule>
  </conditionalFormatting>
  <conditionalFormatting sqref="O12:O26">
    <cfRule type="colorScale" priority="2728">
      <colorScale>
        <cfvo type="min"/>
        <cfvo type="percentile" val="50"/>
        <cfvo type="max"/>
        <color rgb="FF63BE7B"/>
        <color rgb="FFFFEB84"/>
        <color rgb="FFF8696B"/>
      </colorScale>
    </cfRule>
  </conditionalFormatting>
  <conditionalFormatting sqref="O27:X95">
    <cfRule type="colorScale" priority="2613">
      <colorScale>
        <cfvo type="min"/>
        <cfvo type="percentile" val="50"/>
        <cfvo type="max"/>
        <color rgb="FF63BE7B"/>
        <color rgb="FFFFEB84"/>
        <color rgb="FFF8696B"/>
      </colorScale>
    </cfRule>
  </conditionalFormatting>
  <conditionalFormatting sqref="P12:P26 R12:R26 T12:T26 V12:V26 X12:Y26">
    <cfRule type="colorScale" priority="2723">
      <colorScale>
        <cfvo type="min"/>
        <cfvo type="percentile" val="50"/>
        <cfvo type="max"/>
        <color rgb="FF63BE7B"/>
        <color rgb="FFFFEB84"/>
        <color rgb="FFF8696B"/>
      </colorScale>
    </cfRule>
  </conditionalFormatting>
  <conditionalFormatting sqref="Q12:Q26 S12:S26 U12:U26 W12:W26">
    <cfRule type="colorScale" priority="2729">
      <colorScale>
        <cfvo type="min"/>
        <cfvo type="percentile" val="50"/>
        <cfvo type="max"/>
        <color rgb="FF63BE7B"/>
        <color rgb="FFFFEB84"/>
        <color rgb="FFF8696B"/>
      </colorScale>
    </cfRule>
  </conditionalFormatting>
  <conditionalFormatting sqref="Y95 N95">
    <cfRule type="colorScale" priority="2214">
      <colorScale>
        <cfvo type="num" val="5"/>
        <cfvo type="num" val="15"/>
        <cfvo type="num" val="25"/>
        <color rgb="FF357F48"/>
        <color rgb="FFFFC000"/>
        <color rgb="FFFF0000"/>
      </colorScale>
    </cfRule>
  </conditionalFormatting>
  <conditionalFormatting sqref="Z12:Z27">
    <cfRule type="colorScale" priority="2739">
      <colorScale>
        <cfvo type="min"/>
        <cfvo type="percentile" val="50"/>
        <cfvo type="max"/>
        <color rgb="FF63BE7B"/>
        <color rgb="FFFFEB84"/>
        <color rgb="FFF8696B"/>
      </colorScale>
    </cfRule>
  </conditionalFormatting>
  <conditionalFormatting sqref="Z29:AK95 AA27:AG27 Z28:AG28 AI27:AK28">
    <cfRule type="colorScale" priority="2614">
      <colorScale>
        <cfvo type="min"/>
        <cfvo type="percentile" val="50"/>
        <cfvo type="max"/>
        <color rgb="FF63BE7B"/>
        <color rgb="FFFFEB84"/>
        <color rgb="FFF8696B"/>
      </colorScale>
    </cfRule>
  </conditionalFormatting>
  <conditionalFormatting sqref="Z29:AK97 AA27:AG27 Z28:AG28 AI27:AK28">
    <cfRule type="colorScale" priority="2615">
      <colorScale>
        <cfvo type="min"/>
        <cfvo type="percentile" val="50"/>
        <cfvo type="max"/>
        <color rgb="FFF8696B"/>
        <color rgb="FFFFEB84"/>
        <color rgb="FF63BE7B"/>
      </colorScale>
    </cfRule>
  </conditionalFormatting>
  <conditionalFormatting sqref="AB12:AB26 AF12:AF26 AH12:AH28 AJ12:AJ26">
    <cfRule type="colorScale" priority="2740">
      <colorScale>
        <cfvo type="min"/>
        <cfvo type="percentile" val="50"/>
        <cfvo type="max"/>
        <color rgb="FF63BE7B"/>
        <color rgb="FFFFEB84"/>
        <color rgb="FFF8696B"/>
      </colorScale>
    </cfRule>
  </conditionalFormatting>
  <conditionalFormatting sqref="AD12:AD26">
    <cfRule type="colorScale" priority="25">
      <colorScale>
        <cfvo type="min"/>
        <cfvo type="percentile" val="50"/>
        <cfvo type="max"/>
        <color rgb="FF63BE7B"/>
        <color rgb="FFFFEB84"/>
        <color rgb="FFF8696B"/>
      </colorScale>
    </cfRule>
  </conditionalFormatting>
  <conditionalFormatting sqref="AG12:AG26 AI12:AI26 AK12:AK26 AA12:AA26 AE12:AE26 AC12:AC26 AN12:AN26">
    <cfRule type="colorScale" priority="2733">
      <colorScale>
        <cfvo type="min"/>
        <cfvo type="percentile" val="50"/>
        <cfvo type="max"/>
        <color rgb="FF63BE7B"/>
        <color rgb="FFFFEB84"/>
        <color rgb="FFF8696B"/>
      </colorScale>
    </cfRule>
  </conditionalFormatting>
  <conditionalFormatting sqref="AL12:AL26">
    <cfRule type="colorScale" priority="27">
      <colorScale>
        <cfvo type="min"/>
        <cfvo type="percentile" val="50"/>
        <cfvo type="max"/>
        <color rgb="FFF8696B"/>
        <color rgb="FFFFEB84"/>
        <color rgb="FF63BE7B"/>
      </colorScale>
    </cfRule>
  </conditionalFormatting>
  <conditionalFormatting sqref="AL12:AM26">
    <cfRule type="colorScale" priority="2764">
      <colorScale>
        <cfvo type="min"/>
        <cfvo type="percentile" val="50"/>
        <cfvo type="max"/>
        <color rgb="FF63BE7B"/>
        <color rgb="FFFFEB84"/>
        <color rgb="FFF8696B"/>
      </colorScale>
    </cfRule>
  </conditionalFormatting>
  <conditionalFormatting sqref="AM12:AM26">
    <cfRule type="colorScale" priority="28">
      <colorScale>
        <cfvo type="min"/>
        <cfvo type="percentile" val="50"/>
        <cfvo type="max"/>
        <color rgb="FFF8696B"/>
        <color rgb="FFFFEB84"/>
        <color rgb="FF63BE7B"/>
      </colorScale>
    </cfRule>
  </conditionalFormatting>
  <conditionalFormatting sqref="AO1:AO10 AO100:AO1048576">
    <cfRule type="iconSet" priority="2304">
      <iconSet>
        <cfvo type="percent" val="0"/>
        <cfvo type="percent" val="33"/>
        <cfvo type="percent" val="67"/>
      </iconSet>
    </cfRule>
  </conditionalFormatting>
  <conditionalFormatting sqref="AO12:AO26">
    <cfRule type="containsText" dxfId="7" priority="10" operator="containsText" text="NEGLIGIBLE">
      <formula>NOT(ISERROR(SEARCH("NEGLIGIBLE",AO12)))</formula>
    </cfRule>
    <cfRule type="containsText" dxfId="6" priority="9" operator="containsText" text="LOW">
      <formula>NOT(ISERROR(SEARCH("LOW",AO12)))</formula>
    </cfRule>
    <cfRule type="containsText" dxfId="5" priority="7" operator="containsText" text="HIGH">
      <formula>NOT(ISERROR(SEARCH("HIGH",AO12)))</formula>
    </cfRule>
    <cfRule type="containsText" dxfId="4" priority="6" operator="containsText" text="EXTREMELY HIGH">
      <formula>NOT(ISERROR(SEARCH("EXTREMELY HIGH",AO12)))</formula>
    </cfRule>
    <cfRule type="containsText" dxfId="3" priority="8" operator="containsText" text="TOLERABLE">
      <formula>NOT(ISERROR(SEARCH("TOLERABLE",AO12)))</formula>
    </cfRule>
  </conditionalFormatting>
  <conditionalFormatting sqref="AP27:AW39">
    <cfRule type="colorScale" priority="21">
      <colorScale>
        <cfvo type="num" val="5"/>
        <cfvo type="num" val="15"/>
        <cfvo type="num" val="25"/>
        <color rgb="FF357F48"/>
        <color rgb="FFFFC000"/>
        <color rgb="FFFF0000"/>
      </colorScale>
    </cfRule>
  </conditionalFormatting>
  <conditionalFormatting sqref="AP40:AW78">
    <cfRule type="colorScale" priority="20">
      <colorScale>
        <cfvo type="num" val="5"/>
        <cfvo type="num" val="15"/>
        <cfvo type="num" val="25"/>
        <color rgb="FF357F48"/>
        <color rgb="FFFFC000"/>
        <color rgb="FFFF0000"/>
      </colorScale>
    </cfRule>
  </conditionalFormatting>
  <conditionalFormatting sqref="AP79:AW94">
    <cfRule type="colorScale" priority="19">
      <colorScale>
        <cfvo type="num" val="5"/>
        <cfvo type="num" val="15"/>
        <cfvo type="num" val="25"/>
        <color rgb="FF357F48"/>
        <color rgb="FFFFC000"/>
        <color rgb="FFFF0000"/>
      </colorScale>
    </cfRule>
  </conditionalFormatting>
  <conditionalFormatting sqref="AP95:AW95">
    <cfRule type="colorScale" priority="18">
      <colorScale>
        <cfvo type="num" val="5"/>
        <cfvo type="num" val="15"/>
        <cfvo type="num" val="25"/>
        <color rgb="FF357F48"/>
        <color rgb="FFFFC000"/>
        <color rgb="FFFF0000"/>
      </colorScale>
    </cfRule>
  </conditionalFormatting>
  <conditionalFormatting sqref="AR12:AR26 AP12:AP26 AT12:AT26">
    <cfRule type="colorScale" priority="24">
      <colorScale>
        <cfvo type="min"/>
        <cfvo type="percentile" val="50"/>
        <cfvo type="max"/>
        <color rgb="FF63BE7B"/>
        <color rgb="FFFFEB84"/>
        <color rgb="FFF8696B"/>
      </colorScale>
    </cfRule>
  </conditionalFormatting>
  <conditionalFormatting sqref="AS12:AS26 AU12:AU26 AQ12:AQ26">
    <cfRule type="colorScale" priority="23">
      <colorScale>
        <cfvo type="min"/>
        <cfvo type="percentile" val="50"/>
        <cfvo type="max"/>
        <color rgb="FF63BE7B"/>
        <color rgb="FFFFEB84"/>
        <color rgb="FFF8696B"/>
      </colorScale>
    </cfRule>
  </conditionalFormatting>
  <conditionalFormatting sqref="AV12:AV26">
    <cfRule type="colorScale" priority="22">
      <colorScale>
        <cfvo type="min"/>
        <cfvo type="percentile" val="50"/>
        <cfvo type="max"/>
        <color rgb="FF63BE7B"/>
        <color rgb="FFFFEB84"/>
        <color rgb="FFF8696B"/>
      </colorScale>
    </cfRule>
  </conditionalFormatting>
  <conditionalFormatting sqref="AW12:AW26">
    <cfRule type="containsText" dxfId="2" priority="1" operator="containsText" text="HIGH">
      <formula>NOT(ISERROR(SEARCH("HIGH",AW12)))</formula>
    </cfRule>
    <cfRule type="containsText" dxfId="1" priority="3" operator="containsText" text="LOW">
      <formula>NOT(ISERROR(SEARCH("LOW",AW12)))</formula>
    </cfRule>
    <cfRule type="containsText" dxfId="0" priority="2" operator="containsText" text="MEDIUM">
      <formula>NOT(ISERROR(SEARCH("MEDIUM",AW12)))</formula>
    </cfRule>
  </conditionalFormatting>
  <dataValidations count="20">
    <dataValidation type="list" allowBlank="1" showInputMessage="1" showErrorMessage="1" sqref="O65571:X65631 O196643:X196703 O131107:X131167 F983075:M983135 F917539:M917599 F852003:M852063 F786467:M786527 F720931:M720991 F655395:M655455 F589859:M589919 F524323:M524383 F458787:M458847 F393251:M393311 F327715:M327775 F262179:M262239 F196643:M196703 F131107:M131167 F65571:M65631 Z983075:AK983135 Z917539:AK917599 Z852003:AK852063 Z786467:AK786527 Z720931:AK720991 Z655395:AK655455 Z589859:AK589919 Z524323:AK524383 Z458787:AK458847 Z393251:AK393311 Z327715:AK327775 Z262179:AK262239 Z196643:AK196703 Z131107:AK131167 Z65571:AK65631 O983075:X983135 O917539:X917599 O852003:X852063 O786467:X786527 O720931:X720991 O655395:X655455 O589859:X589919 O524323:X524383 O458787:X458847 O393251:X393311 O327715:X327775 O262179:X262239 O27:X95 F27:M95 Z28:Z95 AA27:AG95 AI27:AK95 AH29:AH95" xr:uid="{4A9922FD-9C64-8D48-A708-B19BC436144F}">
      <formula1>$I$6:$I$10</formula1>
    </dataValidation>
    <dataValidation type="whole" showErrorMessage="1" errorTitle="Out of Range" error="Value must be between 0 - 3_x000a_" prompt="_x000a_" sqref="N65571:N65631 N131107:N131167 N196643:N196703 N262179:N262239 N327715:N327775 N393251:N393311 N458787:N458847 N524323:N524383 N589859:N589919 N655395:N655455 N720931:N720991 N786467:N786527 N852003:N852063 N917539:N917599 N983075:N983135 Y65571:Y65631 Y131107:Y131167 Y196643:Y196703 Y262179:Y262239 Y327715:Y327775 Y393251:Y393311 Y458787:Y458847 Y524323:Y524383 Y589859:Y589919 Y655395:Y655455 Y720931:Y720991 Y786467:Y786527 Y852003:Y852063 Y917539:Y917599 Y983075:Y983135 AL65571:AM65631 AL131107:AM131167 AL196643:AM196703 AL262179:AM262239 AL327715:AM327775 AL393251:AM393311 AL458787:AM458847 AL524323:AM524383 AL589859:AM589919 AL655395:AM655455 AL720931:AM720991 AL786467:AM786527 AL852003:AM852063 AL917539:AM917599 AL983075:AM983135 Y27:Y95 AL27:AM95 N12:N95 AP65571:AW65631 AP131107:AW131167 AP196643:AW196703 AP262179:AW262239 AP327715:AW327775 AP393251:AW393311 AP458787:AW458847 AP524323:AW524383 AP589859:AW589919 AP655395:AW655455 AP720931:AW720991 AP786467:AW786527 AP852003:AW852063 AP917539:AW917599 AP983075:AW983135 AP27:AW95" xr:uid="{ABBAE345-1973-9E45-B7F6-5CD395894C66}">
      <formula1>0</formula1>
      <formula2>3</formula2>
    </dataValidation>
    <dataValidation type="list" allowBlank="1" showInputMessage="1" showErrorMessage="1" sqref="F12:F26" xr:uid="{79F83B1A-F8A2-47E7-B08F-85C8B3993EC7}">
      <formula1>$F$5:$F$10</formula1>
    </dataValidation>
    <dataValidation type="list" allowBlank="1" showInputMessage="1" showErrorMessage="1" sqref="H12:H26" xr:uid="{5B5F2FAA-9F8D-45FD-91C1-D9B60BBE9E99}">
      <formula1>$H$5:$H$10</formula1>
    </dataValidation>
    <dataValidation type="list" allowBlank="1" showInputMessage="1" showErrorMessage="1" sqref="J12:J26" xr:uid="{F4F3BC03-77FB-4409-89EC-46C2BC334555}">
      <formula1>$J$5:$J$10</formula1>
    </dataValidation>
    <dataValidation type="list" allowBlank="1" showInputMessage="1" showErrorMessage="1" sqref="L12:L26" xr:uid="{A62ACA64-7014-4E7E-8F75-02E38F68632F}">
      <formula1>$L$5:$L$10</formula1>
    </dataValidation>
    <dataValidation type="list" allowBlank="1" showInputMessage="1" showErrorMessage="1" sqref="O12:O26" xr:uid="{8BC0FAD9-8BAB-4514-851A-93823FA254D3}">
      <formula1>$O$5:$O$10</formula1>
    </dataValidation>
    <dataValidation type="list" allowBlank="1" showInputMessage="1" showErrorMessage="1" sqref="Q12:Q26" xr:uid="{FA0224C7-64A0-45E8-AB37-3BACC0789A01}">
      <formula1>$Q$5:$Q$10</formula1>
    </dataValidation>
    <dataValidation type="list" allowBlank="1" showInputMessage="1" showErrorMessage="1" sqref="S12:S26" xr:uid="{36F4CED5-B17F-42E6-B267-B1A0F755905F}">
      <formula1>$S$5:$S$10</formula1>
    </dataValidation>
    <dataValidation type="list" allowBlank="1" showInputMessage="1" showErrorMessage="1" sqref="U12:U26" xr:uid="{1E100223-0760-4882-8835-9A2CBF637C3A}">
      <formula1>$U$5:$U$10</formula1>
    </dataValidation>
    <dataValidation type="list" allowBlank="1" showInputMessage="1" showErrorMessage="1" sqref="W12:W26" xr:uid="{2B6F6E86-069A-44E6-8AC7-85A8424881DB}">
      <formula1>$W$5:$W$10</formula1>
    </dataValidation>
    <dataValidation type="list" allowBlank="1" showInputMessage="1" showErrorMessage="1" sqref="Z12:Z27" xr:uid="{E6173979-AC7D-42CF-8A3E-3D30A5163164}">
      <formula1>$Z$5:$Z$10</formula1>
    </dataValidation>
    <dataValidation type="list" allowBlank="1" showInputMessage="1" showErrorMessage="1" sqref="AF12:AF26" xr:uid="{3FFA7BBD-A62A-43E6-8590-82A2120AA903}">
      <formula1>$AF$5:$AF$10</formula1>
    </dataValidation>
    <dataValidation type="list" allowBlank="1" showInputMessage="1" showErrorMessage="1" sqref="AH12:AH28" xr:uid="{135E49F7-AB86-4ABE-B5E5-439C58CBC2FB}">
      <formula1>$AH$5:$AH$10</formula1>
    </dataValidation>
    <dataValidation type="list" allowBlank="1" showInputMessage="1" showErrorMessage="1" sqref="AJ12:AJ26" xr:uid="{447D9202-DEED-40B9-8FB4-19DAD4F405F2}">
      <formula1>$AJ$5:$AJ$10</formula1>
    </dataValidation>
    <dataValidation type="list" allowBlank="1" showInputMessage="1" showErrorMessage="1" sqref="AB12:AB26" xr:uid="{80DADD06-385A-4F85-ABB2-E92FE1CC577A}">
      <formula1>$AB$5:$AB$10</formula1>
    </dataValidation>
    <dataValidation type="list" allowBlank="1" showInputMessage="1" showErrorMessage="1" sqref="AD12:AD26" xr:uid="{E5F635F8-437B-4F39-BB7A-3C58F3AB46A7}">
      <formula1>$AD$5:$AD$10</formula1>
    </dataValidation>
    <dataValidation type="list" allowBlank="1" showInputMessage="1" showErrorMessage="1" sqref="AP12:AP26" xr:uid="{0F9A1C6D-04A5-4F58-83AD-63E4156742BF}">
      <formula1>$AP$5:$AP$10</formula1>
    </dataValidation>
    <dataValidation type="list" allowBlank="1" showInputMessage="1" showErrorMessage="1" sqref="AR12:AR26" xr:uid="{FC4AAEF1-4F82-4981-931D-E9C351DC4CDC}">
      <formula1>$AR$5:$AR$10</formula1>
    </dataValidation>
    <dataValidation type="list" allowBlank="1" showInputMessage="1" showErrorMessage="1" sqref="AT12:AT26" xr:uid="{D35CC54A-2854-40A0-870B-0C59D7CC9617}">
      <formula1>$AT$5:$AT$10</formula1>
    </dataValidation>
  </dataValidations>
  <printOptions horizontalCentered="1"/>
  <pageMargins left="0.25" right="0.25" top="0.75" bottom="0.75" header="0.3" footer="0.3"/>
  <pageSetup paperSize="8" fitToWidth="0"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5889-9BD9-F24F-A368-74B64157B5D7}">
  <sheetPr codeName="Sheet2">
    <pageSetUpPr fitToPage="1"/>
  </sheetPr>
  <dimension ref="A1:F46"/>
  <sheetViews>
    <sheetView topLeftCell="A36" zoomScale="90" zoomScaleNormal="90" workbookViewId="0">
      <selection activeCell="A41" sqref="A41:F41"/>
    </sheetView>
  </sheetViews>
  <sheetFormatPr defaultColWidth="10.875" defaultRowHeight="12.75"/>
  <cols>
    <col min="1" max="1" width="27.625" style="1" customWidth="1"/>
    <col min="2" max="6" width="42.5" style="1" customWidth="1"/>
    <col min="7" max="256" width="8.875" style="1" customWidth="1"/>
    <col min="257" max="16384" width="10.875" style="1"/>
  </cols>
  <sheetData>
    <row r="1" spans="1:6" ht="17.25" hidden="1">
      <c r="A1" s="26" t="s">
        <v>136</v>
      </c>
      <c r="B1" s="28"/>
      <c r="C1" s="28"/>
      <c r="D1" s="30"/>
      <c r="E1" s="27"/>
      <c r="F1" s="27"/>
    </row>
    <row r="2" spans="1:6" ht="17.25">
      <c r="A2" s="26" t="s">
        <v>137</v>
      </c>
      <c r="B2" s="28"/>
      <c r="C2" s="28"/>
      <c r="E2" s="27"/>
      <c r="F2" s="27"/>
    </row>
    <row r="3" spans="1:6" ht="15">
      <c r="A3" s="28"/>
      <c r="B3" s="28"/>
      <c r="C3" s="28"/>
      <c r="E3" s="27"/>
      <c r="F3" s="27"/>
    </row>
    <row r="4" spans="1:6" ht="15">
      <c r="A4" s="29" t="s">
        <v>138</v>
      </c>
      <c r="B4" s="28"/>
      <c r="C4" s="28"/>
      <c r="D4" s="25"/>
      <c r="E4" s="27"/>
      <c r="F4" s="27"/>
    </row>
    <row r="5" spans="1:6" ht="17.25">
      <c r="A5" s="26" t="s">
        <v>139</v>
      </c>
      <c r="B5" s="26"/>
      <c r="C5" s="26"/>
      <c r="D5" s="25"/>
      <c r="E5" s="24"/>
      <c r="F5" s="24"/>
    </row>
    <row r="6" spans="1:6" ht="17.25">
      <c r="A6" s="26" t="s">
        <v>140</v>
      </c>
      <c r="B6" s="26"/>
      <c r="C6" s="26"/>
      <c r="E6" s="24"/>
      <c r="F6" s="24"/>
    </row>
    <row r="7" spans="1:6" ht="15">
      <c r="A7" s="24"/>
      <c r="B7" s="24"/>
      <c r="C7" s="24"/>
      <c r="D7" s="25"/>
      <c r="E7" s="24"/>
      <c r="F7" s="24"/>
    </row>
    <row r="8" spans="1:6" s="34" customFormat="1" ht="15.75">
      <c r="A8" s="252" t="s">
        <v>141</v>
      </c>
      <c r="B8" s="252"/>
      <c r="C8" s="252"/>
      <c r="D8" s="252"/>
      <c r="E8" s="252"/>
      <c r="F8" s="252"/>
    </row>
    <row r="9" spans="1:6" s="34" customFormat="1" ht="13.5" thickBot="1">
      <c r="A9" s="35"/>
    </row>
    <row r="10" spans="1:6" s="34" customFormat="1" ht="16.5" thickBot="1">
      <c r="A10" s="253" t="s">
        <v>14</v>
      </c>
      <c r="B10" s="254"/>
      <c r="C10" s="254"/>
      <c r="D10" s="254"/>
      <c r="E10" s="254"/>
      <c r="F10" s="255"/>
    </row>
    <row r="11" spans="1:6" s="34" customFormat="1" ht="15.75" thickBot="1">
      <c r="A11" s="31"/>
      <c r="B11" s="180">
        <v>1</v>
      </c>
      <c r="C11" s="180">
        <v>2</v>
      </c>
      <c r="D11" s="180">
        <v>3</v>
      </c>
      <c r="E11" s="180">
        <v>4</v>
      </c>
      <c r="F11" s="180">
        <v>5</v>
      </c>
    </row>
    <row r="12" spans="1:6" s="34" customFormat="1" ht="16.5" customHeight="1">
      <c r="A12" s="250" t="s">
        <v>142</v>
      </c>
      <c r="B12" s="181" t="s">
        <v>143</v>
      </c>
      <c r="C12" s="181" t="s">
        <v>144</v>
      </c>
      <c r="D12" s="184" t="s">
        <v>145</v>
      </c>
      <c r="E12" s="181" t="s">
        <v>146</v>
      </c>
      <c r="F12" s="182" t="s">
        <v>147</v>
      </c>
    </row>
    <row r="13" spans="1:6" s="34" customFormat="1" ht="27.75" thickBot="1">
      <c r="A13" s="251"/>
      <c r="B13" s="22" t="s">
        <v>148</v>
      </c>
      <c r="C13" s="22" t="s">
        <v>149</v>
      </c>
      <c r="D13" s="183" t="s">
        <v>150</v>
      </c>
      <c r="E13" s="21" t="s">
        <v>151</v>
      </c>
      <c r="F13" s="20" t="s">
        <v>147</v>
      </c>
    </row>
    <row r="14" spans="1:6" s="34" customFormat="1">
      <c r="A14" s="250" t="s">
        <v>152</v>
      </c>
      <c r="B14" s="181">
        <v>1</v>
      </c>
      <c r="C14" s="181">
        <v>2</v>
      </c>
      <c r="D14" s="32">
        <v>3</v>
      </c>
      <c r="E14" s="186">
        <v>4</v>
      </c>
      <c r="F14" s="182">
        <v>5</v>
      </c>
    </row>
    <row r="15" spans="1:6" s="34" customFormat="1">
      <c r="A15" s="256"/>
      <c r="B15" s="18" t="s">
        <v>153</v>
      </c>
      <c r="C15" s="18" t="s">
        <v>154</v>
      </c>
      <c r="D15" s="18" t="s">
        <v>63</v>
      </c>
      <c r="E15" s="17" t="s">
        <v>155</v>
      </c>
      <c r="F15" s="16" t="s">
        <v>156</v>
      </c>
    </row>
    <row r="16" spans="1:6" s="34" customFormat="1" ht="14.25" thickBot="1">
      <c r="A16" s="251"/>
      <c r="B16" s="22" t="s">
        <v>44</v>
      </c>
      <c r="C16" s="22" t="s">
        <v>63</v>
      </c>
      <c r="D16" s="187" t="s">
        <v>157</v>
      </c>
      <c r="E16" s="21" t="s">
        <v>101</v>
      </c>
      <c r="F16" s="20" t="s">
        <v>119</v>
      </c>
    </row>
    <row r="17" spans="1:6" s="34" customFormat="1" ht="15">
      <c r="A17" s="176" t="s">
        <v>158</v>
      </c>
      <c r="B17" s="181">
        <v>1</v>
      </c>
      <c r="C17" s="181">
        <v>2</v>
      </c>
      <c r="D17" s="189">
        <v>3</v>
      </c>
      <c r="E17" s="186">
        <v>4</v>
      </c>
      <c r="F17" s="182">
        <v>5</v>
      </c>
    </row>
    <row r="18" spans="1:6" s="34" customFormat="1" ht="15.75" thickBot="1">
      <c r="A18" s="177"/>
      <c r="B18" s="20" t="s">
        <v>159</v>
      </c>
      <c r="C18" s="190" t="s">
        <v>160</v>
      </c>
      <c r="D18" s="191" t="s">
        <v>161</v>
      </c>
      <c r="E18" s="192" t="s">
        <v>162</v>
      </c>
      <c r="F18" s="193" t="s">
        <v>163</v>
      </c>
    </row>
    <row r="19" spans="1:6" s="34" customFormat="1" ht="13.5">
      <c r="A19" s="256" t="s">
        <v>164</v>
      </c>
      <c r="B19" s="178">
        <v>1</v>
      </c>
      <c r="C19" s="178">
        <v>2</v>
      </c>
      <c r="D19" s="185">
        <v>3</v>
      </c>
      <c r="E19" s="178">
        <v>4</v>
      </c>
      <c r="F19" s="179">
        <v>5</v>
      </c>
    </row>
    <row r="20" spans="1:6" s="34" customFormat="1" ht="14.25" thickBot="1">
      <c r="A20" s="251"/>
      <c r="B20" s="22" t="s">
        <v>46</v>
      </c>
      <c r="C20" s="22" t="s">
        <v>165</v>
      </c>
      <c r="D20" s="33" t="s">
        <v>166</v>
      </c>
      <c r="E20" s="21" t="s">
        <v>167</v>
      </c>
      <c r="F20" s="20" t="s">
        <v>121</v>
      </c>
    </row>
    <row r="21" spans="1:6" s="34" customFormat="1" ht="14.25" thickBot="1">
      <c r="A21" s="36"/>
      <c r="B21" s="33"/>
      <c r="C21" s="33"/>
      <c r="D21" s="37"/>
      <c r="E21" s="33"/>
      <c r="F21" s="33"/>
    </row>
    <row r="22" spans="1:6" s="34" customFormat="1" ht="15.75" thickBot="1">
      <c r="A22" s="246" t="s">
        <v>168</v>
      </c>
      <c r="B22" s="247"/>
      <c r="C22" s="247"/>
      <c r="D22" s="247"/>
      <c r="E22" s="247"/>
      <c r="F22" s="249"/>
    </row>
    <row r="23" spans="1:6" s="34" customFormat="1">
      <c r="A23" s="38"/>
      <c r="B23" s="18">
        <v>1</v>
      </c>
      <c r="C23" s="18">
        <v>2</v>
      </c>
      <c r="D23" s="19">
        <v>3</v>
      </c>
      <c r="E23" s="17">
        <v>4</v>
      </c>
      <c r="F23" s="16">
        <v>5</v>
      </c>
    </row>
    <row r="24" spans="1:6" s="34" customFormat="1">
      <c r="A24" s="38"/>
      <c r="B24" s="18" t="s">
        <v>169</v>
      </c>
      <c r="C24" s="18" t="s">
        <v>170</v>
      </c>
      <c r="D24" s="18" t="s">
        <v>171</v>
      </c>
      <c r="E24" s="17" t="s">
        <v>172</v>
      </c>
      <c r="F24" s="16" t="s">
        <v>173</v>
      </c>
    </row>
    <row r="25" spans="1:6" s="34" customFormat="1" ht="40.5">
      <c r="A25" s="15" t="s">
        <v>174</v>
      </c>
      <c r="B25" s="23" t="s">
        <v>175</v>
      </c>
      <c r="C25" s="23" t="s">
        <v>176</v>
      </c>
      <c r="D25" s="198" t="s">
        <v>177</v>
      </c>
      <c r="E25" s="23" t="s">
        <v>178</v>
      </c>
      <c r="F25" s="188" t="s">
        <v>179</v>
      </c>
    </row>
    <row r="26" spans="1:6" s="34" customFormat="1" ht="54">
      <c r="A26" s="15" t="s">
        <v>180</v>
      </c>
      <c r="B26" s="23" t="s">
        <v>181</v>
      </c>
      <c r="C26" s="23" t="s">
        <v>182</v>
      </c>
      <c r="D26" s="199" t="s">
        <v>183</v>
      </c>
      <c r="E26" s="188" t="s">
        <v>184</v>
      </c>
      <c r="F26" s="188" t="s">
        <v>185</v>
      </c>
    </row>
    <row r="27" spans="1:6" s="34" customFormat="1" ht="72" customHeight="1">
      <c r="A27" s="15" t="s">
        <v>186</v>
      </c>
      <c r="B27" s="23" t="s">
        <v>187</v>
      </c>
      <c r="C27" s="23" t="s">
        <v>188</v>
      </c>
      <c r="D27" s="23" t="s">
        <v>189</v>
      </c>
      <c r="E27" s="23" t="s">
        <v>190</v>
      </c>
      <c r="F27" s="188" t="s">
        <v>191</v>
      </c>
    </row>
    <row r="28" spans="1:6" s="34" customFormat="1" ht="60.95" customHeight="1">
      <c r="A28" s="15" t="s">
        <v>192</v>
      </c>
      <c r="B28" s="23" t="s">
        <v>193</v>
      </c>
      <c r="C28" s="23" t="s">
        <v>194</v>
      </c>
      <c r="D28" s="199" t="s">
        <v>195</v>
      </c>
      <c r="E28" s="23" t="s">
        <v>196</v>
      </c>
      <c r="F28" s="23" t="s">
        <v>197</v>
      </c>
    </row>
    <row r="29" spans="1:6" s="34" customFormat="1" ht="63.95" customHeight="1">
      <c r="A29" s="15" t="s">
        <v>198</v>
      </c>
      <c r="B29" s="200" t="s">
        <v>199</v>
      </c>
      <c r="C29" s="23" t="s">
        <v>200</v>
      </c>
      <c r="D29" s="199" t="s">
        <v>201</v>
      </c>
      <c r="E29" s="23" t="s">
        <v>202</v>
      </c>
      <c r="F29" s="201" t="s">
        <v>203</v>
      </c>
    </row>
    <row r="30" spans="1:6" s="34" customFormat="1" ht="14.25" thickBot="1">
      <c r="A30" s="39"/>
      <c r="B30" s="33"/>
      <c r="C30" s="33"/>
      <c r="D30" s="33"/>
      <c r="E30" s="33"/>
      <c r="F30" s="33"/>
    </row>
    <row r="31" spans="1:6" s="34" customFormat="1" ht="15.75" thickBot="1">
      <c r="A31" s="246" t="s">
        <v>204</v>
      </c>
      <c r="B31" s="247"/>
      <c r="C31" s="247"/>
      <c r="D31" s="248"/>
      <c r="E31" s="247"/>
      <c r="F31" s="249"/>
    </row>
    <row r="32" spans="1:6" s="34" customFormat="1">
      <c r="A32" s="38"/>
      <c r="B32" s="11">
        <v>1</v>
      </c>
      <c r="C32" s="10">
        <v>2</v>
      </c>
      <c r="D32" s="14">
        <v>3</v>
      </c>
      <c r="E32" s="13">
        <v>4</v>
      </c>
      <c r="F32" s="12">
        <v>5</v>
      </c>
    </row>
    <row r="33" spans="1:6" s="34" customFormat="1" ht="13.5" thickBot="1">
      <c r="A33" s="38"/>
      <c r="B33" s="11" t="s">
        <v>205</v>
      </c>
      <c r="C33" s="10" t="s">
        <v>206</v>
      </c>
      <c r="D33" s="9" t="s">
        <v>207</v>
      </c>
      <c r="E33" s="8" t="s">
        <v>208</v>
      </c>
      <c r="F33" s="7" t="s">
        <v>209</v>
      </c>
    </row>
    <row r="34" spans="1:6" s="34" customFormat="1" ht="54">
      <c r="A34" s="6" t="s">
        <v>210</v>
      </c>
      <c r="B34" s="202" t="s">
        <v>211</v>
      </c>
      <c r="C34" s="202" t="s">
        <v>212</v>
      </c>
      <c r="D34" s="202" t="s">
        <v>213</v>
      </c>
      <c r="E34" s="202" t="s">
        <v>214</v>
      </c>
      <c r="F34" s="202" t="s">
        <v>215</v>
      </c>
    </row>
    <row r="35" spans="1:6" s="34" customFormat="1" ht="40.5">
      <c r="A35" s="203" t="s">
        <v>216</v>
      </c>
      <c r="B35" s="199" t="s">
        <v>53</v>
      </c>
      <c r="C35" s="199" t="s">
        <v>72</v>
      </c>
      <c r="D35" s="199" t="s">
        <v>91</v>
      </c>
      <c r="E35" s="199" t="s">
        <v>109</v>
      </c>
      <c r="F35" s="199" t="s">
        <v>217</v>
      </c>
    </row>
    <row r="36" spans="1:6" s="34" customFormat="1" ht="54">
      <c r="A36" s="203" t="s">
        <v>218</v>
      </c>
      <c r="B36" s="199" t="s">
        <v>219</v>
      </c>
      <c r="C36" s="199" t="s">
        <v>220</v>
      </c>
      <c r="D36" s="199" t="s">
        <v>221</v>
      </c>
      <c r="E36" s="199" t="s">
        <v>222</v>
      </c>
      <c r="F36" s="199" t="s">
        <v>223</v>
      </c>
    </row>
    <row r="37" spans="1:6" s="34" customFormat="1" ht="54">
      <c r="A37" s="204" t="s">
        <v>224</v>
      </c>
      <c r="B37" s="199" t="s">
        <v>225</v>
      </c>
      <c r="C37" s="199" t="s">
        <v>226</v>
      </c>
      <c r="D37" s="199" t="s">
        <v>227</v>
      </c>
      <c r="E37" s="199" t="s">
        <v>228</v>
      </c>
      <c r="F37" s="199" t="s">
        <v>229</v>
      </c>
    </row>
    <row r="38" spans="1:6" s="34" customFormat="1" ht="94.5">
      <c r="A38" s="6" t="s">
        <v>230</v>
      </c>
      <c r="B38" s="199" t="s">
        <v>231</v>
      </c>
      <c r="C38" s="199" t="s">
        <v>232</v>
      </c>
      <c r="D38" s="199" t="s">
        <v>233</v>
      </c>
      <c r="E38" s="199" t="s">
        <v>234</v>
      </c>
      <c r="F38" s="199" t="s">
        <v>235</v>
      </c>
    </row>
    <row r="39" spans="1:6" s="34" customFormat="1" ht="67.5">
      <c r="A39" s="5" t="s">
        <v>236</v>
      </c>
      <c r="B39" s="199" t="s">
        <v>237</v>
      </c>
      <c r="C39" s="199" t="s">
        <v>238</v>
      </c>
      <c r="D39" s="199" t="s">
        <v>239</v>
      </c>
      <c r="E39" s="199" t="s">
        <v>240</v>
      </c>
      <c r="F39" s="199" t="s">
        <v>241</v>
      </c>
    </row>
    <row r="40" spans="1:6" ht="13.5" thickBot="1">
      <c r="A40" s="4"/>
    </row>
    <row r="41" spans="1:6" s="34" customFormat="1" ht="15.75" thickBot="1">
      <c r="A41" s="246" t="s">
        <v>242</v>
      </c>
      <c r="B41" s="247"/>
      <c r="C41" s="247"/>
      <c r="D41" s="248"/>
      <c r="E41" s="247"/>
      <c r="F41" s="249"/>
    </row>
    <row r="42" spans="1:6" s="34" customFormat="1">
      <c r="A42" s="38"/>
      <c r="B42" s="11">
        <v>1</v>
      </c>
      <c r="C42" s="10">
        <v>2</v>
      </c>
      <c r="D42" s="14">
        <v>3</v>
      </c>
      <c r="E42" s="13">
        <v>4</v>
      </c>
      <c r="F42" s="12">
        <v>5</v>
      </c>
    </row>
    <row r="43" spans="1:6" s="34" customFormat="1" ht="15">
      <c r="A43" s="6" t="s">
        <v>243</v>
      </c>
      <c r="B43" s="202" t="s">
        <v>59</v>
      </c>
      <c r="C43" s="202" t="s">
        <v>78</v>
      </c>
      <c r="D43" s="202" t="s">
        <v>97</v>
      </c>
      <c r="E43" s="202" t="s">
        <v>115</v>
      </c>
      <c r="F43" s="202" t="s">
        <v>133</v>
      </c>
    </row>
    <row r="44" spans="1:6" s="34" customFormat="1" ht="27">
      <c r="A44" s="203" t="s">
        <v>244</v>
      </c>
      <c r="B44" s="199" t="s">
        <v>245</v>
      </c>
      <c r="C44" s="199" t="s">
        <v>246</v>
      </c>
      <c r="D44" s="199" t="s">
        <v>247</v>
      </c>
      <c r="E44" s="199" t="s">
        <v>248</v>
      </c>
      <c r="F44" s="199" t="s">
        <v>134</v>
      </c>
    </row>
    <row r="45" spans="1:6" s="34" customFormat="1" ht="27">
      <c r="A45" s="203" t="s">
        <v>249</v>
      </c>
      <c r="B45" s="199" t="s">
        <v>250</v>
      </c>
      <c r="C45" s="199" t="s">
        <v>251</v>
      </c>
      <c r="D45" s="199" t="s">
        <v>252</v>
      </c>
      <c r="E45" s="199" t="s">
        <v>253</v>
      </c>
      <c r="F45" s="199" t="s">
        <v>254</v>
      </c>
    </row>
    <row r="46" spans="1:6">
      <c r="A46" s="3"/>
      <c r="B46" s="2"/>
      <c r="C46" s="2"/>
      <c r="D46" s="2"/>
      <c r="E46" s="2"/>
      <c r="F46" s="2"/>
    </row>
  </sheetData>
  <mergeCells count="8">
    <mergeCell ref="A41:F41"/>
    <mergeCell ref="A31:F31"/>
    <mergeCell ref="A12:A13"/>
    <mergeCell ref="A8:F8"/>
    <mergeCell ref="A10:F10"/>
    <mergeCell ref="A14:A16"/>
    <mergeCell ref="A19:A20"/>
    <mergeCell ref="A22:F22"/>
  </mergeCells>
  <pageMargins left="0.7" right="0.7" top="0.75" bottom="0.75" header="0.3" footer="0.3"/>
  <pageSetup scale="46" orientation="landscape" horizontalDpi="4294967293"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F3A4-6A59-4B62-8A8D-6BB9D51E24C3}">
  <dimension ref="S10:W31"/>
  <sheetViews>
    <sheetView topLeftCell="A9" zoomScale="60" zoomScaleNormal="60" workbookViewId="0">
      <selection activeCell="Y36" sqref="Y36"/>
    </sheetView>
  </sheetViews>
  <sheetFormatPr defaultColWidth="9" defaultRowHeight="15.75"/>
  <cols>
    <col min="1" max="16384" width="9" style="110"/>
  </cols>
  <sheetData>
    <row r="10" spans="19:23">
      <c r="S10" s="257" t="s">
        <v>255</v>
      </c>
      <c r="T10" s="257"/>
      <c r="U10" s="257"/>
      <c r="V10" s="257"/>
      <c r="W10" s="257"/>
    </row>
    <row r="11" spans="19:23">
      <c r="S11" s="205"/>
      <c r="T11" s="261" t="s">
        <v>256</v>
      </c>
      <c r="U11" s="261"/>
      <c r="V11" s="261"/>
      <c r="W11" s="261"/>
    </row>
    <row r="12" spans="19:23">
      <c r="S12" s="206"/>
      <c r="T12" s="261" t="s">
        <v>257</v>
      </c>
      <c r="U12" s="261"/>
      <c r="V12" s="261"/>
      <c r="W12" s="261"/>
    </row>
    <row r="13" spans="19:23">
      <c r="S13" s="207"/>
      <c r="T13" s="261" t="s">
        <v>258</v>
      </c>
      <c r="U13" s="261"/>
      <c r="V13" s="261"/>
      <c r="W13" s="261"/>
    </row>
    <row r="14" spans="19:23">
      <c r="S14" s="208"/>
      <c r="T14" s="261" t="s">
        <v>259</v>
      </c>
      <c r="U14" s="261"/>
      <c r="V14" s="261"/>
      <c r="W14" s="261"/>
    </row>
    <row r="18" spans="19:23">
      <c r="S18" s="258" t="s">
        <v>260</v>
      </c>
      <c r="T18" s="259"/>
      <c r="U18" s="259"/>
      <c r="V18" s="259"/>
      <c r="W18" s="260"/>
    </row>
    <row r="19" spans="19:23">
      <c r="S19" s="209"/>
      <c r="W19" s="210"/>
    </row>
    <row r="20" spans="19:23">
      <c r="S20" s="209"/>
      <c r="W20" s="210"/>
    </row>
    <row r="21" spans="19:23">
      <c r="S21" s="209"/>
      <c r="U21" s="110" t="s">
        <v>206</v>
      </c>
      <c r="W21" s="210"/>
    </row>
    <row r="22" spans="19:23">
      <c r="S22" s="209"/>
      <c r="W22" s="210"/>
    </row>
    <row r="23" spans="19:23">
      <c r="S23" s="209"/>
      <c r="W23" s="210"/>
    </row>
    <row r="24" spans="19:23">
      <c r="S24" s="209"/>
      <c r="W24" s="210"/>
    </row>
    <row r="25" spans="19:23">
      <c r="S25" s="209"/>
      <c r="U25" s="110" t="s">
        <v>207</v>
      </c>
      <c r="W25" s="210"/>
    </row>
    <row r="26" spans="19:23">
      <c r="S26" s="209"/>
      <c r="W26" s="210"/>
    </row>
    <row r="27" spans="19:23">
      <c r="S27" s="209"/>
      <c r="W27" s="210"/>
    </row>
    <row r="28" spans="19:23">
      <c r="S28" s="209"/>
      <c r="W28" s="210"/>
    </row>
    <row r="29" spans="19:23">
      <c r="S29" s="209"/>
      <c r="W29" s="210"/>
    </row>
    <row r="30" spans="19:23">
      <c r="S30" s="209"/>
      <c r="U30" s="110" t="s">
        <v>208</v>
      </c>
      <c r="W30" s="210"/>
    </row>
    <row r="31" spans="19:23">
      <c r="S31" s="211"/>
      <c r="T31" s="212"/>
      <c r="U31" s="212"/>
      <c r="V31" s="212"/>
      <c r="W31" s="213"/>
    </row>
  </sheetData>
  <mergeCells count="6">
    <mergeCell ref="S10:W10"/>
    <mergeCell ref="S18:W18"/>
    <mergeCell ref="T11:W11"/>
    <mergeCell ref="T12:W12"/>
    <mergeCell ref="T13:W13"/>
    <mergeCell ref="T14:W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527B-613A-4F7B-B477-633A9B4670F2}">
  <dimension ref="A2:L12"/>
  <sheetViews>
    <sheetView workbookViewId="0">
      <selection activeCell="A10" sqref="A10:H10"/>
    </sheetView>
  </sheetViews>
  <sheetFormatPr defaultRowHeight="15.75"/>
  <cols>
    <col min="1" max="1" width="22.25" customWidth="1"/>
    <col min="2" max="2" width="19.625" customWidth="1"/>
    <col min="3" max="3" width="21.375" customWidth="1"/>
    <col min="4" max="4" width="20.75" customWidth="1"/>
    <col min="5" max="5" width="17.75" customWidth="1"/>
    <col min="6" max="12" width="20.75" customWidth="1"/>
  </cols>
  <sheetData>
    <row r="2" spans="1:12">
      <c r="A2" s="262" t="s">
        <v>261</v>
      </c>
      <c r="B2" s="263"/>
      <c r="C2" s="263"/>
      <c r="D2" s="263"/>
      <c r="E2" s="263"/>
      <c r="F2" s="263"/>
      <c r="G2" s="263"/>
      <c r="H2" s="264"/>
    </row>
    <row r="3" spans="1:12">
      <c r="A3" s="195" t="s">
        <v>262</v>
      </c>
      <c r="B3" s="174" t="s">
        <v>263</v>
      </c>
      <c r="C3" s="195" t="s">
        <v>152</v>
      </c>
      <c r="D3" s="174" t="s">
        <v>263</v>
      </c>
      <c r="E3" s="195" t="s">
        <v>158</v>
      </c>
      <c r="F3" s="174" t="s">
        <v>263</v>
      </c>
      <c r="G3" s="195" t="s">
        <v>164</v>
      </c>
      <c r="H3" s="174" t="s">
        <v>263</v>
      </c>
    </row>
    <row r="4" spans="1:12" s="197" customFormat="1" ht="173.25">
      <c r="A4" s="196" t="s">
        <v>264</v>
      </c>
      <c r="B4" s="196" t="s">
        <v>265</v>
      </c>
      <c r="C4" s="196" t="s">
        <v>266</v>
      </c>
      <c r="D4" s="196" t="s">
        <v>267</v>
      </c>
      <c r="E4" s="196" t="s">
        <v>268</v>
      </c>
      <c r="F4" s="196" t="s">
        <v>267</v>
      </c>
      <c r="G4" s="196" t="s">
        <v>269</v>
      </c>
      <c r="H4" s="196" t="s">
        <v>270</v>
      </c>
    </row>
    <row r="6" spans="1:12">
      <c r="A6" s="262" t="s">
        <v>271</v>
      </c>
      <c r="B6" s="263"/>
      <c r="C6" s="263"/>
      <c r="D6" s="263"/>
      <c r="E6" s="263"/>
      <c r="F6" s="263"/>
      <c r="G6" s="263"/>
      <c r="H6" s="263"/>
      <c r="I6" s="263"/>
      <c r="J6" s="264"/>
    </row>
    <row r="7" spans="1:12">
      <c r="A7" s="195" t="s">
        <v>174</v>
      </c>
      <c r="B7" s="174" t="s">
        <v>263</v>
      </c>
      <c r="C7" s="195" t="s">
        <v>180</v>
      </c>
      <c r="D7" s="174" t="s">
        <v>263</v>
      </c>
      <c r="E7" s="195" t="s">
        <v>186</v>
      </c>
      <c r="F7" s="174" t="s">
        <v>263</v>
      </c>
      <c r="G7" s="195" t="s">
        <v>192</v>
      </c>
      <c r="H7" s="174" t="s">
        <v>263</v>
      </c>
      <c r="I7" s="195" t="s">
        <v>198</v>
      </c>
      <c r="J7" s="174" t="s">
        <v>263</v>
      </c>
    </row>
    <row r="8" spans="1:12" s="197" customFormat="1" ht="252">
      <c r="A8" s="196" t="s">
        <v>272</v>
      </c>
      <c r="B8" s="196" t="s">
        <v>273</v>
      </c>
      <c r="C8" s="196" t="s">
        <v>274</v>
      </c>
      <c r="D8" s="196" t="s">
        <v>275</v>
      </c>
      <c r="E8" s="196" t="s">
        <v>276</v>
      </c>
      <c r="F8" s="196" t="s">
        <v>277</v>
      </c>
      <c r="G8" s="196" t="s">
        <v>278</v>
      </c>
      <c r="H8" s="196" t="s">
        <v>279</v>
      </c>
      <c r="I8" s="196" t="s">
        <v>280</v>
      </c>
      <c r="J8" s="196" t="s">
        <v>281</v>
      </c>
    </row>
    <row r="10" spans="1:12">
      <c r="A10" s="262" t="s">
        <v>282</v>
      </c>
      <c r="B10" s="263"/>
      <c r="C10" s="263"/>
      <c r="D10" s="263"/>
      <c r="E10" s="263"/>
      <c r="F10" s="263"/>
      <c r="G10" s="263"/>
      <c r="H10" s="264"/>
      <c r="I10" s="194"/>
      <c r="J10" s="194"/>
      <c r="K10" s="194"/>
      <c r="L10" s="194"/>
    </row>
    <row r="11" spans="1:12">
      <c r="A11" s="195" t="s">
        <v>283</v>
      </c>
      <c r="B11" s="174" t="s">
        <v>263</v>
      </c>
      <c r="C11" s="195" t="s">
        <v>284</v>
      </c>
      <c r="D11" s="174" t="s">
        <v>263</v>
      </c>
      <c r="E11" s="195" t="s">
        <v>218</v>
      </c>
      <c r="F11" s="174" t="s">
        <v>263</v>
      </c>
      <c r="G11" s="195" t="s">
        <v>285</v>
      </c>
      <c r="H11" s="174" t="s">
        <v>263</v>
      </c>
      <c r="I11" s="195" t="s">
        <v>286</v>
      </c>
      <c r="J11" s="174" t="s">
        <v>263</v>
      </c>
      <c r="K11" s="195" t="s">
        <v>287</v>
      </c>
      <c r="L11" s="174" t="s">
        <v>263</v>
      </c>
    </row>
    <row r="12" spans="1:12" ht="236.25" customHeight="1">
      <c r="A12" s="175" t="s">
        <v>288</v>
      </c>
      <c r="B12" s="175" t="s">
        <v>289</v>
      </c>
      <c r="C12" s="175" t="s">
        <v>290</v>
      </c>
      <c r="D12" s="175" t="s">
        <v>291</v>
      </c>
      <c r="E12" s="175" t="s">
        <v>292</v>
      </c>
      <c r="F12" s="175" t="s">
        <v>293</v>
      </c>
      <c r="G12" s="175" t="s">
        <v>294</v>
      </c>
      <c r="H12" s="175" t="s">
        <v>295</v>
      </c>
      <c r="I12" s="175" t="s">
        <v>296</v>
      </c>
      <c r="J12" s="175" t="s">
        <v>297</v>
      </c>
      <c r="K12" s="175" t="s">
        <v>298</v>
      </c>
      <c r="L12" s="175" t="s">
        <v>299</v>
      </c>
    </row>
  </sheetData>
  <mergeCells count="3">
    <mergeCell ref="A2:H2"/>
    <mergeCell ref="A6:J6"/>
    <mergeCell ref="A10:H10"/>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3c1e8cb-6acd-4dc1-af76-0f543db22347" xsi:nil="true"/>
    <lcf76f155ced4ddcb4097134ff3c332f xmlns="c1910108-e94c-45c6-b3db-54e60489b11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C2E0A994C38943B83DC9DAAF410DF1" ma:contentTypeVersion="13" ma:contentTypeDescription="Create a new document." ma:contentTypeScope="" ma:versionID="5f2aad258dc16c6cde79c500617b5ff4">
  <xsd:schema xmlns:xsd="http://www.w3.org/2001/XMLSchema" xmlns:xs="http://www.w3.org/2001/XMLSchema" xmlns:p="http://schemas.microsoft.com/office/2006/metadata/properties" xmlns:ns2="c1910108-e94c-45c6-b3db-54e60489b114" xmlns:ns3="83c1e8cb-6acd-4dc1-af76-0f543db22347" targetNamespace="http://schemas.microsoft.com/office/2006/metadata/properties" ma:root="true" ma:fieldsID="8485640a0fbaa85c2e884dfa5823fbc5" ns2:_="" ns3:_="">
    <xsd:import namespace="c1910108-e94c-45c6-b3db-54e60489b114"/>
    <xsd:import namespace="83c1e8cb-6acd-4dc1-af76-0f543db2234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910108-e94c-45c6-b3db-54e60489b1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3ed4ece-437c-43d5-9d91-d9f2fc1f489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c1e8cb-6acd-4dc1-af76-0f543db2234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d8afd96-322e-483b-bae9-0d59fc13408d}" ma:internalName="TaxCatchAll" ma:showField="CatchAllData" ma:web="83c1e8cb-6acd-4dc1-af76-0f543db22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7A3936-6188-4C46-BB17-C9BFA53B161E}"/>
</file>

<file path=customXml/itemProps2.xml><?xml version="1.0" encoding="utf-8"?>
<ds:datastoreItem xmlns:ds="http://schemas.openxmlformats.org/officeDocument/2006/customXml" ds:itemID="{6E09EF3D-889E-4D2E-BAB8-2B19A0DCA9EE}"/>
</file>

<file path=customXml/itemProps3.xml><?xml version="1.0" encoding="utf-8"?>
<ds:datastoreItem xmlns:ds="http://schemas.openxmlformats.org/officeDocument/2006/customXml" ds:itemID="{E0FF8618-FD95-4C8C-8140-665445D2B6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2021-02-15T13:44:28Z</dcterms:created>
  <dcterms:modified xsi:type="dcterms:W3CDTF">2023-06-06T13:27:35Z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0x0101004CC2E0A994C38943B83DC9DAAF410DF1</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